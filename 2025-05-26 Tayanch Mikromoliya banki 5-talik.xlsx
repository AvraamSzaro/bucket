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пруденциальная отчетность\06 июнь 2026\"/>
    </mc:Choice>
  </mc:AlternateContent>
  <xr:revisionPtr revIDLastSave="0" documentId="13_ncr:1_{E8A0790F-C16A-4218-AE9B-F5378D537D0E}" xr6:coauthVersionLast="47" xr6:coauthVersionMax="47" xr10:uidLastSave="{00000000-0000-0000-0000-000000000000}"/>
  <bookViews>
    <workbookView xWindow="-120" yWindow="-120" windowWidth="29040" windowHeight="15720" xr2:uid="{00000000-000D-0000-FFFF-FFFF00000000}"/>
  </bookViews>
  <sheets>
    <sheet name="1" sheetId="1" r:id="rId1"/>
    <sheet name="2" sheetId="2" r:id="rId2"/>
    <sheet name="12" sheetId="3" r:id="rId3"/>
    <sheet name="13" sheetId="4" r:id="rId4"/>
    <sheet name="16" sheetId="5" r:id="rId5"/>
    <sheet name="17" sheetId="6" r:id="rId6"/>
  </sheets>
  <externalReferences>
    <externalReference r:id="rId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 i="4" l="1"/>
</calcChain>
</file>

<file path=xl/sharedStrings.xml><?xml version="1.0" encoding="utf-8"?>
<sst xmlns="http://schemas.openxmlformats.org/spreadsheetml/2006/main" count="694" uniqueCount="525">
  <si>
    <t>1-жадвал</t>
  </si>
  <si>
    <t>МИКРОМОЛИЯ БАНКИНИНГ БАЛАНСИ ТАРКИБИ</t>
  </si>
  <si>
    <t xml:space="preserve"> кун.ой.йил</t>
  </si>
  <si>
    <t>TAYANCH MIKROMOLIYA BANKI</t>
  </si>
  <si>
    <t>минг. сўм</t>
  </si>
  <si>
    <t>№</t>
  </si>
  <si>
    <t>АКТИВЛАР</t>
  </si>
  <si>
    <t>Жами</t>
  </si>
  <si>
    <t>Миллий валютада</t>
  </si>
  <si>
    <t>Хорижий валютада
(сўм экв.)</t>
  </si>
  <si>
    <t xml:space="preserve">Кассадаги нақд пул ва бошқа тўлов ҳужжатлари </t>
  </si>
  <si>
    <t>Банкнинг Марказий банкдаги маблағлар</t>
  </si>
  <si>
    <t xml:space="preserve">Банкнинг бошқа банклардаги ҳисобварақлари, соф </t>
  </si>
  <si>
    <t>3.1</t>
  </si>
  <si>
    <t>Банкнинг бошқа банклардаги маблағлари, брутто</t>
  </si>
  <si>
    <t>3.2</t>
  </si>
  <si>
    <t>Минус: Кўрилиши мумкин бўлган зарарларни қоплаш захираси</t>
  </si>
  <si>
    <t>Қимматли қоғозлар ва уларга қилинган инвестициялар, соф</t>
  </si>
  <si>
    <t>4.1</t>
  </si>
  <si>
    <t>Қимматли қоғозлар ва уларга қилинган инвестициялар, брутто</t>
  </si>
  <si>
    <t>4.2</t>
  </si>
  <si>
    <t xml:space="preserve">Қимматли қоғозлар бўйича дисконт ва мукофотлар </t>
  </si>
  <si>
    <t>4.3</t>
  </si>
  <si>
    <t xml:space="preserve">Минус: Кўрилиши мумкин бўлган зарарларни қоплаш захираси </t>
  </si>
  <si>
    <t>Қимматбаҳо металлар, тошлар ва тангалар, соф</t>
  </si>
  <si>
    <t>5.1</t>
  </si>
  <si>
    <t xml:space="preserve">Қимматбаҳо металлар, тошлар ва тангалар, брутто </t>
  </si>
  <si>
    <t>5.2</t>
  </si>
  <si>
    <t>Инвестициялар, соф</t>
  </si>
  <si>
    <t>6.1</t>
  </si>
  <si>
    <t>Инвестициялар, брутто</t>
  </si>
  <si>
    <t>6.2</t>
  </si>
  <si>
    <t>РЕПО битимлари бўйича сотиб олинган қимматли қоғозлар, соф</t>
  </si>
  <si>
    <t>7.1</t>
  </si>
  <si>
    <t>РЕПО битимлари бўйича сотиб олинган қимматли қоғозлар, брутто</t>
  </si>
  <si>
    <t>7.2</t>
  </si>
  <si>
    <t>Кредит ва лизинг операциялари, соф</t>
  </si>
  <si>
    <t>8.1</t>
  </si>
  <si>
    <t>Кредит ва лизинг операциялари, брутто</t>
  </si>
  <si>
    <t>8.2</t>
  </si>
  <si>
    <t>Молиявий инструментлар бўйича мижозларнинг мажбуриятлари, соф</t>
  </si>
  <si>
    <t>9.1</t>
  </si>
  <si>
    <t>Молиявий инструментлар бўйича мижозларнинг мажбуриятлари, брутто</t>
  </si>
  <si>
    <t>9.2</t>
  </si>
  <si>
    <t>Асосий воситалар, соф</t>
  </si>
  <si>
    <t>Жами ҳисобланган фоизли ва фоизсиз даромадлар, соф</t>
  </si>
  <si>
    <t>11.1</t>
  </si>
  <si>
    <t>Ҳисобланган фоизли даромадлар, брутто</t>
  </si>
  <si>
    <t>11.2</t>
  </si>
  <si>
    <t>Ҳисобланган фоизсиз даромадлар, брутто</t>
  </si>
  <si>
    <t>11.2.1</t>
  </si>
  <si>
    <t>Банкнинг бошқа хусусий мулклари, соф</t>
  </si>
  <si>
    <t>12.1</t>
  </si>
  <si>
    <t>Кредит ва лизинг бўйича гаров ҳисобидан ундирилган бошқа мулклар, брутто</t>
  </si>
  <si>
    <t>12.2</t>
  </si>
  <si>
    <t>Банкнинг бошқа хусусий мулклари, брутто</t>
  </si>
  <si>
    <t>12.3</t>
  </si>
  <si>
    <t>Минус: Тўпланган амортизация ва кўрилиши мумкин бўлган зарарларни қоплаш захираси</t>
  </si>
  <si>
    <t>Стандарт активлар бўйича яратилган захирлар</t>
  </si>
  <si>
    <t>13.1</t>
  </si>
  <si>
    <t>Стандарт кредитлар, лизинг ва факторинг бўйича захира</t>
  </si>
  <si>
    <t>13.2</t>
  </si>
  <si>
    <t>Стандарт бошқа активлар бўйича захира</t>
  </si>
  <si>
    <t>13.3</t>
  </si>
  <si>
    <t>Стандарт хисобланган фоизлар бўйича захира</t>
  </si>
  <si>
    <t>Бошқа активлар, соф</t>
  </si>
  <si>
    <t>14.1</t>
  </si>
  <si>
    <t>Бошқа активлар, брутто</t>
  </si>
  <si>
    <t>14.2</t>
  </si>
  <si>
    <t>14.3</t>
  </si>
  <si>
    <t>Валюта ва валюта позицияларини сотиб олиш ва сотиш</t>
  </si>
  <si>
    <t>15</t>
  </si>
  <si>
    <t>Жами активлар</t>
  </si>
  <si>
    <t>МАЖБУРИЯТЛАР</t>
  </si>
  <si>
    <t>16</t>
  </si>
  <si>
    <t>Талаб қилиб олингунча сақланадиган депозитлар</t>
  </si>
  <si>
    <t>17</t>
  </si>
  <si>
    <t>Муддатли депозитлар</t>
  </si>
  <si>
    <t>18</t>
  </si>
  <si>
    <t>Марказий банк ҳисобварақлари</t>
  </si>
  <si>
    <t>19</t>
  </si>
  <si>
    <t>Бошқа банклар ва молиявий ташкилотларнинг ҳисобварақлари</t>
  </si>
  <si>
    <t>20</t>
  </si>
  <si>
    <t>РЕПО битимлари бўйича сотилган қимматли қоғозлар</t>
  </si>
  <si>
    <t>21</t>
  </si>
  <si>
    <t>Кредит ва лизинг операциялари бўйича мажбуриятлар</t>
  </si>
  <si>
    <t>22</t>
  </si>
  <si>
    <t>Банк томонидан чиқарилган қимматли қоғозлар</t>
  </si>
  <si>
    <t>23</t>
  </si>
  <si>
    <t>Субординар қарз мажбуриятлари</t>
  </si>
  <si>
    <t>24</t>
  </si>
  <si>
    <t>Ҳисобланган фоизлар бўйича мажбуриятлар</t>
  </si>
  <si>
    <t>25</t>
  </si>
  <si>
    <t>Ҳисобланган солиқлар бўйича мажбуриятлар</t>
  </si>
  <si>
    <t>26</t>
  </si>
  <si>
    <t>Клиринг транзакциялари</t>
  </si>
  <si>
    <t>27</t>
  </si>
  <si>
    <t>Стандарт деб таснифланган балансдан ташқари моддаларга яратилган захиралар</t>
  </si>
  <si>
    <t>28</t>
  </si>
  <si>
    <t>Бошқа мажбуриятлар</t>
  </si>
  <si>
    <t>29</t>
  </si>
  <si>
    <t>Жами мажбуриятлар</t>
  </si>
  <si>
    <t>ХУСУСИЙ КАПИТАЛ</t>
  </si>
  <si>
    <t>30</t>
  </si>
  <si>
    <t>Устав капитали</t>
  </si>
  <si>
    <t>30.1</t>
  </si>
  <si>
    <t>Aкциялар – оддий</t>
  </si>
  <si>
    <t>30.2</t>
  </si>
  <si>
    <t>Aкциялар – имтиёзли</t>
  </si>
  <si>
    <t>31</t>
  </si>
  <si>
    <t>Қўшимча капитал</t>
  </si>
  <si>
    <t>32</t>
  </si>
  <si>
    <t>Захира капитали</t>
  </si>
  <si>
    <t>32.1</t>
  </si>
  <si>
    <t>Умумий захира фонди</t>
  </si>
  <si>
    <t>32.2</t>
  </si>
  <si>
    <t>Девальвация учун захира</t>
  </si>
  <si>
    <t>32.3</t>
  </si>
  <si>
    <t>Бошқа захиралар ва фондлар</t>
  </si>
  <si>
    <t>33</t>
  </si>
  <si>
    <t>Тақсимланмаган фойда</t>
  </si>
  <si>
    <t>33.1</t>
  </si>
  <si>
    <t>шундан, жорий йил учун соф фойда (зарар)</t>
  </si>
  <si>
    <t>34</t>
  </si>
  <si>
    <t>Жами хусусий капитал</t>
  </si>
  <si>
    <t>35</t>
  </si>
  <si>
    <t>Жами мажбуриятлар ва хусусий капитал</t>
  </si>
  <si>
    <t>2-jadval</t>
  </si>
  <si>
    <t>MOLIYAVIY NATIJALAR TOʻGʻRISIDA HISOBOT</t>
  </si>
  <si>
    <t>ming. soʻmda</t>
  </si>
  <si>
    <t>Koʻrsatkichlar</t>
  </si>
  <si>
    <t>Jami</t>
  </si>
  <si>
    <t>FOIZLI DAROMADLAR</t>
  </si>
  <si>
    <t>a.</t>
  </si>
  <si>
    <t>Markaziy bankdagi hisobvaraqlar boʻyicha foizli daromadlar</t>
  </si>
  <si>
    <t>b.</t>
  </si>
  <si>
    <t>Boshqa banklardagi hisobvaraqlar boʻyicha foizli daromadlar</t>
  </si>
  <si>
    <t>d.</t>
  </si>
  <si>
    <t>Amortizatsiyalangan qiymati boʻyicha baholanadigan qarz qimmatli qogʻozlarga qilingan investitsiyalar boʻyicha foizli daromadlar</t>
  </si>
  <si>
    <t>e.</t>
  </si>
  <si>
    <t>Qimmatli qogʻozlar va ularga qilingan investitsiyalar boʻyicha foizli daromadlar</t>
  </si>
  <si>
    <t>f.</t>
  </si>
  <si>
    <t>Mijozlarning majburiyatlari boʻyicha hisoblangan foizlar</t>
  </si>
  <si>
    <t>h.</t>
  </si>
  <si>
    <t>Bankning toʻlanmagan akseptlari yuzasidan mijozlar majburiyatlari boʻyicha foizli daromadlar</t>
  </si>
  <si>
    <t>i.</t>
  </si>
  <si>
    <t>Kredit va lizing operatsiyalari boʻyicha foizlar, diskontlar (chegirmalar) va badallar</t>
  </si>
  <si>
    <t>j.</t>
  </si>
  <si>
    <t>Qimmatli qogʻozlar bilan amalga oshirilgan REPO bitimlari boʻyicha foizli daromadlar</t>
  </si>
  <si>
    <t>k.</t>
  </si>
  <si>
    <t>Boshqa foizli daromadlar</t>
  </si>
  <si>
    <t>l.</t>
  </si>
  <si>
    <t>Jami foizli daromadlar</t>
  </si>
  <si>
    <t>FOIZLI XARAJATLAR</t>
  </si>
  <si>
    <t>Talab qilib olinguncha saqlanadigan depozitlar boʻyicha foizli xarajatlar</t>
  </si>
  <si>
    <t>Muddatli depozitlar boʻyicha foizli xarajatlar</t>
  </si>
  <si>
    <t>Markaziy bankning hisobvaraqlari boʻyicha foizli xarajatlar</t>
  </si>
  <si>
    <t>Boshqa banklarning hisobvaraqlari boʻyicha foizli xarajatlar</t>
  </si>
  <si>
    <t>Jami depozitlar boʻyicha foizli xarajatlar</t>
  </si>
  <si>
    <t>g.</t>
  </si>
  <si>
    <t>Kreditlar boʻyicha foizli xarajatlar</t>
  </si>
  <si>
    <t>Qimmatli qogʻozlar bilan amalga oshirilgan REPO bitimlari boʻyicha foizli xarajatlar</t>
  </si>
  <si>
    <t>Boshqa foizli xarajatlar</t>
  </si>
  <si>
    <t>Jami kredit va boshqa qarzdorliklar boʻyicha foizli xarajatlar</t>
  </si>
  <si>
    <t>Jami foizli xarajatlar</t>
  </si>
  <si>
    <t>Aktivlar boʻyicha ehtimoliy yoʻqotishlarga qarshi yaratilgan zaxiralarni baholashdan oldingi sof daromad</t>
  </si>
  <si>
    <t>Minus: Kredit va lizinglar boʻyicha koʻrilishi mumkin boʻlgan zararlarni baholash</t>
  </si>
  <si>
    <t>Minus: Qimmatli qogʻozlar boʻyicha koʻrilishi mumkin boʻlgan zararlarni baholash</t>
  </si>
  <si>
    <t>Minus: Investitsiyalar boʻyicha koʻrilishi mumkin boʻlgan zararlarni baholash</t>
  </si>
  <si>
    <t>Minus: Boshqa aktivlar boʻyicha koʻrilishi mumkin boʻlgan zararlarni baholash</t>
  </si>
  <si>
    <t>Aktivlar boʻyicha ehtimoliy zararlarni baholashdan keyingi sof daromad</t>
  </si>
  <si>
    <t>FOIZSIZ DAROMADLAR</t>
  </si>
  <si>
    <t>Komission daromadlar</t>
  </si>
  <si>
    <t>a1.</t>
  </si>
  <si>
    <t>Jismoniy shaxslardan olingan foizsiz daromadlar</t>
  </si>
  <si>
    <t>a2.</t>
  </si>
  <si>
    <t>Yuridik shaxslardan olingan foizsiz daromadlar</t>
  </si>
  <si>
    <t>Xorijiy valyutalardagi foyda</t>
  </si>
  <si>
    <t>Tijorat operatsiyalaridan olingan foyda</t>
  </si>
  <si>
    <t>Investitsiyadan olingan foyda va dividendlar</t>
  </si>
  <si>
    <t>Aktivlar boʻyicha ehtimoliy yoʻqotishlarga qarshi yaratilgan zaxiralarning qaytarilishi bilan bogʻliq daromadlar</t>
  </si>
  <si>
    <t>Hisobdan chiqarilgan kreditlar qaytarilishi bilan bogʻliq daromadlar</t>
  </si>
  <si>
    <t>Boshqa foizsiz daromadlar</t>
  </si>
  <si>
    <t>Jami foizsiz daromadlar</t>
  </si>
  <si>
    <t>FOIZSIZ XARAJATLAR</t>
  </si>
  <si>
    <t>Komission toʻlovlar va koʻrsatilgan xizmatlar boʻyicha xarajatlar</t>
  </si>
  <si>
    <t>Xorijiy valyutada koʻrilgan zararlar</t>
  </si>
  <si>
    <t>Tijorat operatsiyalaridan koʻrilgan zararlar</t>
  </si>
  <si>
    <t>Investitsiyadan koʻrilgan zararlar</t>
  </si>
  <si>
    <t>Boshqa foizsiz xarajatlar</t>
  </si>
  <si>
    <t>Jami foizsiz xarajatlar</t>
  </si>
  <si>
    <t>OPERATSION XARAJATLARDAN OLDINGI SOF DAROMAD</t>
  </si>
  <si>
    <t>OPERATSION XARAJATLAR</t>
  </si>
  <si>
    <t>Bank xizmatchilariga ish haqi va boshqa xarajatlar</t>
  </si>
  <si>
    <t>a1)</t>
  </si>
  <si>
    <t xml:space="preserve">shundan, rahbar xodimlarga toʻlovlar </t>
  </si>
  <si>
    <t>Ijara va taʼminot xarajatlari</t>
  </si>
  <si>
    <t>Xizmat safari va transport xarajatlari</t>
  </si>
  <si>
    <t>Maʼmuriy xarajatlar</t>
  </si>
  <si>
    <t>Reprezentatsiya va xayriya</t>
  </si>
  <si>
    <t>Amortizatsiya xarajatlari</t>
  </si>
  <si>
    <t>Sugʻurta xarajatlari</t>
  </si>
  <si>
    <t xml:space="preserve">Soliqlar </t>
  </si>
  <si>
    <t>Jarima va penyalar</t>
  </si>
  <si>
    <t>Boshqa operatsion xarajatlar</t>
  </si>
  <si>
    <t>Jami operatsion xarajatlar</t>
  </si>
  <si>
    <t xml:space="preserve">  </t>
  </si>
  <si>
    <t xml:space="preserve">Soliq toʻlangunga qadar sof foyda va boshqa tuzatishlar </t>
  </si>
  <si>
    <t>Foyda soligʻini baholash</t>
  </si>
  <si>
    <t>TUZATISHLAR KIRITILGUNGA QADAR DAROMAD</t>
  </si>
  <si>
    <t>Koʻzda tutilmagan daromad yoki zararlar, sof</t>
  </si>
  <si>
    <t>Foyda boʻyicha tuzatishlar, sof</t>
  </si>
  <si>
    <t>SOF FOYDA (ZARAR)</t>
  </si>
  <si>
    <t>MIKROMOLIYA BANKI  AKTIVLARI TAHLILI</t>
  </si>
  <si>
    <t>12-jadval</t>
  </si>
  <si>
    <t>ming soʻmda</t>
  </si>
  <si>
    <t>Muddatsiz</t>
  </si>
  <si>
    <t>1 dan 7 gacha</t>
  </si>
  <si>
    <t>8 dan 30 gacha</t>
  </si>
  <si>
    <t>31 dan 90 gacha</t>
  </si>
  <si>
    <t>91 dan 180 gacha</t>
  </si>
  <si>
    <t>181 dan 365 gacha</t>
  </si>
  <si>
    <t>366 dan 730 gacha</t>
  </si>
  <si>
    <t>2 yildan ortiq</t>
  </si>
  <si>
    <t>Summa 
(soʻm ekv)</t>
  </si>
  <si>
    <t>1</t>
  </si>
  <si>
    <t>Kassadagi naqd pul va boshqa toʻlov hujjatlari (10100)</t>
  </si>
  <si>
    <t>2</t>
  </si>
  <si>
    <t>Bankning Markaziy bankdagi mablagʻlari (10300)</t>
  </si>
  <si>
    <t>2.1</t>
  </si>
  <si>
    <t>Bankning Markaziy bankdagi mablagʻlari (yuqori likvidli aktiv hisoblangan) 10301, 10305, 10311, 10307, 10313, 10315</t>
  </si>
  <si>
    <t>2.2</t>
  </si>
  <si>
    <t>Bankning Markaziy bankdagi majburiy zaxira hisobvaragʻidagi mablagʻlar (10309)</t>
  </si>
  <si>
    <t>2.3</t>
  </si>
  <si>
    <t>Markaziy bankga joylashtirilgan boshqa depozitlar (10321, 10331, 10397)</t>
  </si>
  <si>
    <t>3</t>
  </si>
  <si>
    <t xml:space="preserve">Banklararo depozitlar (10500) </t>
  </si>
  <si>
    <t>3,1</t>
  </si>
  <si>
    <t>Boshqa banklarda ochilgan vakillik xisobvaragʻlarining yuqori likvidli aktivlarga kiritilmagan qismi (10501)</t>
  </si>
  <si>
    <t>3,2</t>
  </si>
  <si>
    <t xml:space="preserve">Overnayt sharti bilan joylashtirilgan depozitlar </t>
  </si>
  <si>
    <t>3,3</t>
  </si>
  <si>
    <t>Boshqa banklarga joylashtirilgan depozitlar (10531, 10541)</t>
  </si>
  <si>
    <t>3,4</t>
  </si>
  <si>
    <t>Boshqa banklarga nisbatan talablarning yuqori likvidli aktivlarga kiritilmagan qismi (depozitlar) (10505, 10507, 10514, 10513, 10511)</t>
  </si>
  <si>
    <t>3,5</t>
  </si>
  <si>
    <t>Moliyaviy tashkilotlardagi hisobraqamlar (10551)</t>
  </si>
  <si>
    <t>4</t>
  </si>
  <si>
    <t xml:space="preserve">Qimmatli qogʻozlar va ularga qilingan investitsiyalar, investitsiyalar, sof </t>
  </si>
  <si>
    <t>Oʻzbekiston Respublikasi Hukumati va Markaziy bank tomonidan chiqarilgan qimmatli qogʻozlar.</t>
  </si>
  <si>
    <t>Kapital monandligi hisob-kitobida tavakkalchilik darajasi 0 foiz boʻlgan xalqaro moliya tashkilotlari qimmatli qogʻozlarga qilingan investitsiyalar va ularga nisbatan boshqa moliyaviy talablar.</t>
  </si>
  <si>
    <t>Kapital monandligi hisob-kitobida tavakkalchilik darajasi 20 foiz boʻlgan xorijiy davlatlarning hukumatlari, markaziy banklari va davlat sektori tashkilotlariga hamda xalqaro moliya tashkilotlari tomonidan chiqarilgan qimmatli qogʻozlarga qilingan investitsiyalar va ularga nisbatan boshqa moliyaviy talablar.</t>
  </si>
  <si>
    <t>4.4</t>
  </si>
  <si>
    <t xml:space="preserve">Reyting bahosi “AA-” (Standard &amp; Poorʼs, Fitch Ratings) va (yoki) “Aa3” (Moodyʼs Investors Service) darajasidan past boʻlmagan hamda bankka aloqador hisoblanmagan nomoliyaviy tashkilotlar tomonidan chiqarilgan taʼminlangan qarz munosabatlarini tasdiqlovchi qimmatli qogʻozlar hamda korporativ obligatsiyalar. </t>
  </si>
  <si>
    <t>4.5</t>
  </si>
  <si>
    <t>Ipotekani qayta moliyalashtirish tashkilotlari tomonidan chiqarilgan taʼminlangan qarz munosabatlarini tasdiqlovchi qimmatli qogʻozlar.</t>
  </si>
  <si>
    <t>4.6</t>
  </si>
  <si>
    <t>Ipotekani qayta moliyalashtirish tashkilotlari tomonidan chiqarilgan korporativ obligatsiyalari.</t>
  </si>
  <si>
    <t>4.7</t>
  </si>
  <si>
    <t>Reyting bahosi “A ” dan “A-”gacha (Standard &amp; Poorʼs, Fitch Ratings) va (yoki) “A1”dan “A3”gacha (Moodyʼs Investors Service) boʻlgan hamda bankka aloqador hisoblanmagan nomoliyaviy tashkilotlar tomonidan chiqarilgan taʼminlangan qarz munosabatlarini tasdiqlovchi qimmatli qogʻozlar hamda korporativ obligatsiyalar.</t>
  </si>
  <si>
    <t>4.8</t>
  </si>
  <si>
    <t>Kapital monandligi hisob-kitobida tavakkalchilik darajasi 50 foiz boʻlgan xorijiy davlatlarning hukumatlari, markaziy banklari va davlat sektori tashkilotlariga hamda xalqaro moliya tashkilotlari tomonidan chiqarilgan qimmatli qogʻozlarga qilingan investitsiyalar va ularga nisbatan boshqa moliyaviy talablar.</t>
  </si>
  <si>
    <t>4.9</t>
  </si>
  <si>
    <t>Qimmatli qogʻozlarning yuqori likvidli aktivlarga kiritilmagan qismi.</t>
  </si>
  <si>
    <t>4,10</t>
  </si>
  <si>
    <t>REPO bitimlari boʻyicha sotib olingan yuqori likvidli aktivlarga kiritilmagan qimmatli qogʻozlar.</t>
  </si>
  <si>
    <t>4.11</t>
  </si>
  <si>
    <t>REPO bitimlari boʻyicha sotib olingan 1 darajali yuqori likvidli aktivlarga kiritilgan qimmatli qogʻozlar.</t>
  </si>
  <si>
    <t>4.12</t>
  </si>
  <si>
    <t>REPO bitimlari boʻyicha sotib olingan 2B darajali yuqori likvidli aktivlarga kiritilgan qimmatli qogʻozlar</t>
  </si>
  <si>
    <t>4.13</t>
  </si>
  <si>
    <t xml:space="preserve">REPO bitimlari boʻyicha sotib olingan 2A darajali yuqori likvidli aktivlarga kiritilgan qimmatli qogʻozlar. </t>
  </si>
  <si>
    <t>4.14</t>
  </si>
  <si>
    <t xml:space="preserve">Qaram xoʻjalik jamiyatlariga, birgalikdagi korxonalarga va shuʼba xoʻjalik jamiyatlariga qilingan investitsiyalar. </t>
  </si>
  <si>
    <t>5</t>
  </si>
  <si>
    <t>Oldi-sotdiga moʻljallangan qimmatbaho metallar, toshlar va tangalar (10900)</t>
  </si>
  <si>
    <t>6</t>
  </si>
  <si>
    <t>Kreditlar</t>
  </si>
  <si>
    <t>Markaziy bankka berilgan kreditlar.</t>
  </si>
  <si>
    <t>Hukumat, byudjet tashkilotlari, davlat korxonalari, tashkilotlari va muassasalariga berilgan kreditlar.</t>
  </si>
  <si>
    <t>6.2.1</t>
  </si>
  <si>
    <t>Hukumat, byudjet tashkilotlari, davlat korxonalari, tashkilotlari va muassasalariga berilgan, soʻndirilishiga 1 yil yoki undan koʻproq muddat qolgan kreditlar. Bunda mazkur kreditlar kapital monandligi hisob-kitobida 35 foiz yoki undan past boʻlgan tavakkalchilik darajasiga ega boʻlishi, taʼminot sifatida qoʻyilmagan yoki xatlanmagan boʻlishi lozim.
(12301, 12401, 12701, 14701, 14801, 15101, 15105, 15607)</t>
  </si>
  <si>
    <t>6.3</t>
  </si>
  <si>
    <t>Jismoniy shaxslar va yakka tartibdagi tadbirkorlarga berilgan kreditlar.</t>
  </si>
  <si>
    <t>6.3.1</t>
  </si>
  <si>
    <t>Kapital monandligi hisob-kitobida 35 foiz yoki undan past tavakkalchilik darajasiga ega boʻlgan va taʼminot sifatida qoʻyilmagan yoki xatlanmagan ipoteka kreditlari.</t>
  </si>
  <si>
    <t>6.4</t>
  </si>
  <si>
    <t>Chet el investitsiyalari ishtirokidagi korxonalarga berilgan kreditlar.</t>
  </si>
  <si>
    <t>6.5</t>
  </si>
  <si>
    <t>Nodavlat notijorat tashkilotlariga berilgan kreditlar.</t>
  </si>
  <si>
    <t>6.6</t>
  </si>
  <si>
    <t>Xususiy korxonalar, xoʻjalik shirkatlari va jamiyatlarga berilgan kreditlar.</t>
  </si>
  <si>
    <t>6.6.1</t>
  </si>
  <si>
    <t xml:space="preserve">Xususiy korxonalar, xoʻjalik shirkatlari va jamiyatlarga berilgan kapital monandligi hisob-kitobida 35 foiz yoki undan past boʻlgan tavakkalchilik darajasiga ega boʻlgan, taʼminot sifatida qoʻyilmagan yoki xatlanmagan kreditlar </t>
  </si>
  <si>
    <t>6.7</t>
  </si>
  <si>
    <t>Bank boʻlmagan moliyaviy muassasalarga berilgan kreditlar (13201, 15401, 15615)</t>
  </si>
  <si>
    <t>6.7.1</t>
  </si>
  <si>
    <t>Bank boʻlmagan tashkilotlarga ajratilgan 1-darajali yuqori likvidli aktivlar bilan taʼminlangan kreditlar.
Bunda shartnoma shartlariga binoan qarz oluvchi oʻz majburiyatlarini bajarmagan holatda bankning garovga qoʻyilgan ushbu aktivlarni soʻzsiz nazorat qilish va ularni tasarruf eta olish huquqi boʻlishi lozim.</t>
  </si>
  <si>
    <t>6.8</t>
  </si>
  <si>
    <t>Banklarga ajratilgan kreditlar. (12101, 14501, 15601)</t>
  </si>
  <si>
    <t>6.8.1</t>
  </si>
  <si>
    <t>Banklarga ajratilgan 1-darajali yuqori likvidli aktivlar bilan taʼminlangan kreditlar.
Bunda shartnoma shartlariga binoan qarz oluvchi oʻz majburiyatlarini bajarmagan holatda bankning garovga qoʻyilgan ushbu aktivlarni soʻzsiz nazorat qilish va ularni tasarruf eta olish huquqi boʻlishi lozim.</t>
  </si>
  <si>
    <t>7</t>
  </si>
  <si>
    <t xml:space="preserve">Boshqa kredit va faktoring xizmatlari. </t>
  </si>
  <si>
    <t>8</t>
  </si>
  <si>
    <t>Muddati oʻtgan va shartlari qayta koʻrilgan kreditlar</t>
  </si>
  <si>
    <t>9</t>
  </si>
  <si>
    <t>Sud jarayonidagi kreditlar</t>
  </si>
  <si>
    <t>10</t>
  </si>
  <si>
    <t>Mijozlarning akkreditiv va/yoki trast hujjatlari bilan kafolatlangan trattalari, banklarning toʻlanmagan akseptlar boʻyicha majburiyatlari (sof).</t>
  </si>
  <si>
    <t>11</t>
  </si>
  <si>
    <t>Hisoblangan foizlar</t>
  </si>
  <si>
    <t>Markaziy bankdan olinadigan foizlar</t>
  </si>
  <si>
    <t>Bosh ofis/filialdan olinishi lozim boʻlgan hisoblangan foizlar</t>
  </si>
  <si>
    <t>11.3</t>
  </si>
  <si>
    <t xml:space="preserve">Boshqa banklardan olinishi lozim boʻlgan hisoblangan foizlar. </t>
  </si>
  <si>
    <t>11.4</t>
  </si>
  <si>
    <t>Boshqa olinishi lozim boʻlgan hisoblangan foizlar</t>
  </si>
  <si>
    <t>11.5</t>
  </si>
  <si>
    <t>Muddati oʻtgan va shartlari qayta koʻrilgan va boshqa foizlar.</t>
  </si>
  <si>
    <t>12</t>
  </si>
  <si>
    <t>Olinishi lozim boʻlgan hisoblangan foizsiz daromadlar.</t>
  </si>
  <si>
    <t>13</t>
  </si>
  <si>
    <t>Tranzit hisobvaraqlar.</t>
  </si>
  <si>
    <t>14</t>
  </si>
  <si>
    <t>Hosilaviy instrumentlarning revalvatsiyasi natijasida oʻzlashtirilmagan foyda.</t>
  </si>
  <si>
    <t>Asosiy vositalar va bankning boshqa xususiy mulkari.</t>
  </si>
  <si>
    <t>Nomoddiy aktivlar</t>
  </si>
  <si>
    <t>Muddati uzaytirilgan debitorlik qarzdorlik.</t>
  </si>
  <si>
    <t>Muddati oʻtgan va shartlari qayta koʻrilgan boshqa aktivlar xisob raqamlari 2-ilovada)</t>
  </si>
  <si>
    <t>Standart deb tasniqlangan aktivlar boʻyicha qilingan zaxiralar (17700)</t>
  </si>
  <si>
    <t>Boshqa aktivlar.</t>
  </si>
  <si>
    <t>Garovga qoʻyilgan aktivlar</t>
  </si>
  <si>
    <t>21.1</t>
  </si>
  <si>
    <t>Garovga qoʻyilgan 1-darajali aktivlar</t>
  </si>
  <si>
    <t>21.2</t>
  </si>
  <si>
    <t>Garovga qoʻyilgan 2A-darajali aktivlar</t>
  </si>
  <si>
    <t>21.3</t>
  </si>
  <si>
    <t>Garovga qoʻyilgan 2B-darajali aktivlar</t>
  </si>
  <si>
    <t>21.4</t>
  </si>
  <si>
    <t>Garovga qoʻyilgan boshqa aktivlar,</t>
  </si>
  <si>
    <t xml:space="preserve">Yuqori likvidli aktivlarga kirmaydigan aktivlar bilan taʼminlangan, boshqa majburiyatlar (jumladan, REPO bitimlari) </t>
  </si>
  <si>
    <t xml:space="preserve">Regulyativ kapitaldan chegiriluvchi aktivlar Nomoddiy aktivlar , korxonalarning ulushli qimmatli qogʻozlari, Tijorat banklarining ulushli qimmatli qogʻozlari, Qaram xoʻjalik jamiyatlariga, birgalikdagi korxonalarga va shuʼba xoʻjalik jamiyatlariga qilingan investitsiyalar </t>
  </si>
  <si>
    <t>JAMI AKTIVLAR</t>
  </si>
  <si>
    <t>Balansdan tashqari majburiyatlar</t>
  </si>
  <si>
    <t>Bankning kredit va lizing berish boʻyicha majburiyatlari</t>
  </si>
  <si>
    <t>Chaqirib olinmaydigan kredit majburiyatlarining foydalanilmagan qismi (91809)</t>
  </si>
  <si>
    <t>Shartlarsiz chaqirib olinishi mumkin kredit majburiyatlari (91809)</t>
  </si>
  <si>
    <t>Bankning xorijiy davlatlarning hukumatlari, markaziy banklari va davlat sektori tashkilotlariga hamda xalqaro taraqqiyot banklariga chaqirib olinmaydigan kredit majburiyatlarining (kredit liniyalari) foydalanilmagan qismi (91809)</t>
  </si>
  <si>
    <t>Boshqa banklarga va bank boʻlmagan moliyaviy muassasalarga kredit liniyalarining foydalanilmagan qismi (91809)</t>
  </si>
  <si>
    <t>Savdoga oid moliyalashlar boʻyicha majburiyatlar (90900 minus 90963)</t>
  </si>
  <si>
    <t>Savdoga oid moliyalash majburiyatlari bilan bogʻliq boʻlmagan kafolat va kafilliklar (90993)</t>
  </si>
  <si>
    <t xml:space="preserve">Akkreditivlar </t>
  </si>
  <si>
    <t>- shundan, 22602 balans hisobvaragʻida depozit bilan taʼminlanganlar koʻrsatiladi</t>
  </si>
  <si>
    <t>Fyuchers bitimi boʻyicha sof majburiyat (Fyuchers bitimi boʻyicha sotib olish minus Fyuchers bitimi boʻyicha sotish)</t>
  </si>
  <si>
    <t xml:space="preserve">Forvard bitimlari boʻyicha sof majburiyat (Forvard bitimi boʻyicha sotib olish minus Forvard bitimi boʻyicha sotish) </t>
  </si>
  <si>
    <t>Opsion bitimlari boʻyicha sof majburiyat(Opsion bitimi boʻyicha sotib olish minus Opsion bitimi boʻyicha sotish)</t>
  </si>
  <si>
    <t>Svoplar boʻyicha sof majburiyatlar (Svoplar sotib olish boʻyicha majburiyatlar minus Svop shartlarida sotish)</t>
  </si>
  <si>
    <t>MIKROMOLIYA BANKI MAJBURIYATLARI TAHLILI</t>
  </si>
  <si>
    <t>13-jadval</t>
  </si>
  <si>
    <t>DEPOZITLAR</t>
  </si>
  <si>
    <t>1.1</t>
  </si>
  <si>
    <t>Talab qilib olinguncha depozitlar</t>
  </si>
  <si>
    <t>1.1.1</t>
  </si>
  <si>
    <t xml:space="preserve">Jismoniy shaxslar talab qilib olinguncha depozitlari </t>
  </si>
  <si>
    <t>1.1.1.1</t>
  </si>
  <si>
    <t xml:space="preserve">Jismoniy shaxslar talab qilib olinguncha depozitlari. </t>
  </si>
  <si>
    <t>1.1.1.2</t>
  </si>
  <si>
    <t>Yakka tartibdagi tadbirkorlar talab qilib olinguncha depozitlarining kafolatlangan qismi</t>
  </si>
  <si>
    <t>1.1.2</t>
  </si>
  <si>
    <t>Talab qilib olinguncha boshqa mijozlar depozitlari</t>
  </si>
  <si>
    <t>1.1.2.1</t>
  </si>
  <si>
    <t>Хususiy korxonalar, xoʻjalik shirkatlari va jamiyatlar talab qilib olinguncha depozitlari</t>
  </si>
  <si>
    <t>1.1.2.2</t>
  </si>
  <si>
    <t>Hukumatning talab qilib olinguncha depozitlari</t>
  </si>
  <si>
    <t>1.1.2.3</t>
  </si>
  <si>
    <t>Davlat korxonalari, tashkilotlari va muassasalari talab qilib olinguncha depozitlari</t>
  </si>
  <si>
    <t>1.1.2.4</t>
  </si>
  <si>
    <t>Nodavlat notijorat tashkilotlarning talab qilib olinguncha depozitlari</t>
  </si>
  <si>
    <t>1.1.2.5</t>
  </si>
  <si>
    <t>Chet el investitsiyalari ishtirokidagi korxonalarning talab qilib olinguncha depozitlari</t>
  </si>
  <si>
    <t>1.1.2.6</t>
  </si>
  <si>
    <t xml:space="preserve">Bank boʻlmagan moliyaviy muassasalarning talab qilib olinguncha depozitlari </t>
  </si>
  <si>
    <t>1.1.2.7</t>
  </si>
  <si>
    <t>Boshqa talab qilib olinguncha depozitlar</t>
  </si>
  <si>
    <t>1.2</t>
  </si>
  <si>
    <t>Muddatli depozitlar</t>
  </si>
  <si>
    <t>1.2.1</t>
  </si>
  <si>
    <t xml:space="preserve">Jismoniy shaxslar muddatli depozitlari </t>
  </si>
  <si>
    <t>1.2.1.1</t>
  </si>
  <si>
    <t>Jismoniy shaxslar muddatli depozitlari (20406, 20606, 22632 )</t>
  </si>
  <si>
    <t>1.2.1.2</t>
  </si>
  <si>
    <t>Yakka tartibdagi tadbirkorlar muddatli depozitlari (20418, 20618)</t>
  </si>
  <si>
    <t>1.2.2</t>
  </si>
  <si>
    <t>Boshqa mijozlarning muddatli depozitlari.</t>
  </si>
  <si>
    <t>1.2.2.1</t>
  </si>
  <si>
    <t>Xususiy korxonalar, xoʻjalik shirkatlari va jamiyatlar muddatli depozitlari.</t>
  </si>
  <si>
    <t>1.2.2.2</t>
  </si>
  <si>
    <t>Hukumatning muddatli depozitlari.</t>
  </si>
  <si>
    <t>1.2.2.3</t>
  </si>
  <si>
    <t>Davlat korxonalari, tashkilotlari va muassasalari muddatli depozitlari</t>
  </si>
  <si>
    <t>1.2.2.4</t>
  </si>
  <si>
    <t>Nodavlat notijorat tashkilotlarning muddatli depozitlari</t>
  </si>
  <si>
    <t>1.2.2.5</t>
  </si>
  <si>
    <t>Chet el investitsiyalari ishtirokidagi korxonalarning muddatli depozitlari.</t>
  </si>
  <si>
    <t>1.2.2.6</t>
  </si>
  <si>
    <t>Bank boʻlmagan moliyaviy muassasalarning muddatli depozitlari</t>
  </si>
  <si>
    <t>1.2.2.7</t>
  </si>
  <si>
    <t>Boshqa muddatli depozitlar</t>
  </si>
  <si>
    <t>1.2.2.8</t>
  </si>
  <si>
    <t>Akkreditiv depozitlar</t>
  </si>
  <si>
    <t>1.3</t>
  </si>
  <si>
    <t>Boshqa depozitlar yuqoridagi qatorlarga kiritilmagan qismi</t>
  </si>
  <si>
    <t>Markaziy bankka toʻlanishi lozim boʻlgan mablag‘lar. (20802, 20814, 20806, 20816, 20896)</t>
  </si>
  <si>
    <t>Banklararo depozitlar</t>
  </si>
  <si>
    <t>Boshqa banklarga toʻlanishi lozim boʻlgan mablagʻlar (21002, 21006, 21022, 21032, 21042)</t>
  </si>
  <si>
    <t>Operatsion depozitlar (21008, 21012, 21014, 22642)</t>
  </si>
  <si>
    <t>Toʻlanishi lozim boʻlgan kreditlar (21604, 21610, 22004, 22005, 22010, 22012, 22026)</t>
  </si>
  <si>
    <t>bank boʻlmagan moliyaviy tashkilotlarga toʻlanishi lozim boʻlgan kreditlar (21624, 22024)</t>
  </si>
  <si>
    <t>Banklarga toʻlanishi kerak boʻlgan kreditlar (21606, 22006, 22102)</t>
  </si>
  <si>
    <t>Markaziy bank kreditlari (21602, 21612, 21613, 22002, 22013)</t>
  </si>
  <si>
    <t>boshqa kreditlar (21605, 21696, 22096)</t>
  </si>
  <si>
    <t>Lizing boʻyicha majburiyatlar (22104)</t>
  </si>
  <si>
    <t>REPO bitimlari boʻyicha sotilgan qimmatli qogʻozlar (22302, 22304, 22306, 22308, 22310, 22312, 22314, 22316, 22396)</t>
  </si>
  <si>
    <t>Bankning toʻlanmagan akseptlari (21400)</t>
  </si>
  <si>
    <t xml:space="preserve">Toʻlanishi lozim boʻlgan hisoblangan foizlar </t>
  </si>
  <si>
    <t>Toʻlanishi lozim boʻlgan hisoblangan foizlar (22402, 22403, 22405, 22408, 22410, 22410, 22412, 22414, 22476)</t>
  </si>
  <si>
    <t>Bosh ofis/filialga toʻlanishi lozim boʻlgan hisoblangan foizlar (22409)</t>
  </si>
  <si>
    <t>7.3</t>
  </si>
  <si>
    <t>Boshqa banklarga toʻlanishi lozim boʻlgan hisoblangan foizlar (22406, 22407)</t>
  </si>
  <si>
    <t>Hisoblangan soliqlar (22500)</t>
  </si>
  <si>
    <t>Hosilaviy instrumentlarning revalvatsiyasi natijasida amalga oshmagan zararlar va boshqa muddati uzaytirilgan daromadlar (22800)</t>
  </si>
  <si>
    <t>Mijozlarning bank kartalariga oʻtkazilishi lozim boʻlgan pul mablagʻlari boʻyicha tranzit hisobvaraqlari (23100)</t>
  </si>
  <si>
    <t>Kliring tranzaksiyalari (23200)</t>
  </si>
  <si>
    <t>Bank tomonidan chiqarilgan qimmatli qogʻozlar</t>
  </si>
  <si>
    <t>Chiqarilgan obligatsiyalar (23602)</t>
  </si>
  <si>
    <t xml:space="preserve"> Chiqarilgan jamgʻarma sertifikatlari (23604)</t>
  </si>
  <si>
    <t>Chiqarilgan depozit sertifikatlari (23606)</t>
  </si>
  <si>
    <t>12.4</t>
  </si>
  <si>
    <t>Chiqarilgan boshqa qimmatli qogʻozlar (23610, 23608)</t>
  </si>
  <si>
    <t>Subordinar qarz qimmatli qogʻozlari (23700)</t>
  </si>
  <si>
    <t>Boshqa majburiyatlar  23400, 23500, 29800</t>
  </si>
  <si>
    <t>Jami majburiyatlar</t>
  </si>
  <si>
    <t>16-jadval</t>
  </si>
  <si>
    <t>PRUDUYENSIAL MEʼYORLAR HISOB-KITOBI</t>
  </si>
  <si>
    <t>Prudensial meʼyorlar</t>
  </si>
  <si>
    <t>Hisob-kitoblar formulasi</t>
  </si>
  <si>
    <t>Meʼyorlarning joriy koʻrsatkichi</t>
  </si>
  <si>
    <t>Belgilangan meʼyor
qiymati</t>
  </si>
  <si>
    <t>Farqi</t>
  </si>
  <si>
    <t xml:space="preserve">                              A</t>
  </si>
  <si>
    <t>B</t>
  </si>
  <si>
    <t>D</t>
  </si>
  <si>
    <t>E</t>
  </si>
  <si>
    <t xml:space="preserve">F </t>
  </si>
  <si>
    <t>Kapital monandlik koʻrsatkichlari</t>
  </si>
  <si>
    <t>Regulyativ kapitalning monandlik koeffitsiyenti (K1)</t>
  </si>
  <si>
    <t>Jami regulyativ kapital</t>
  </si>
  <si>
    <t>Min</t>
  </si>
  <si>
    <t>Tavakkalchilikka tortilgan aktivlar</t>
  </si>
  <si>
    <t>I darajali kapitalning monandlik koeffitsiyenti (K2)</t>
  </si>
  <si>
    <t>I darajali kapital</t>
  </si>
  <si>
    <t>I darajali asosiy kapitalning monandlik koeffitsiyenti (K3)</t>
  </si>
  <si>
    <t>I darajali asosiy kapital</t>
  </si>
  <si>
    <t>1.4</t>
  </si>
  <si>
    <t>Leveraj</t>
  </si>
  <si>
    <t>Aktivlar+balansdan tashqari aktivlar</t>
  </si>
  <si>
    <t>Likvidlilik koʻrsatkichlari</t>
  </si>
  <si>
    <t>Yuqori likvidli aktivlarning jami aktivlardagi ulushi</t>
  </si>
  <si>
    <t>Yuqori likvidli aktivlar</t>
  </si>
  <si>
    <t>Jami aktivlar</t>
  </si>
  <si>
    <t>Likvidlikni qoplash meʼyori koeffitsiyenti</t>
  </si>
  <si>
    <t>Keyingi 30 kun ichida sof chiqim</t>
  </si>
  <si>
    <t>Sof barqaror moliyalashtirish meʼyori koeffitsiyenti</t>
  </si>
  <si>
    <t>Barqaror moliyalashtirishning mavjud miqdori</t>
  </si>
  <si>
    <t>Barqaror moliyalashtirishning zarur miqdori</t>
  </si>
  <si>
    <t>Qarz oluvchilar bilan bogʻliq meʼyorlar</t>
  </si>
  <si>
    <t>Bankning bir qarz oluvchi yoki oʻzaro aloqador qarz oluvchilar guruhi uchun tavakkalchilikning eng koʻp miqdori</t>
  </si>
  <si>
    <t>Bir qarz oluvchiga yoki oʻzaro aloqador qarzdorlar guruhiga toʻgʻri keluvchi maksimal xatar</t>
  </si>
  <si>
    <t>Maks</t>
  </si>
  <si>
    <t>5 mlrd soʻm</t>
  </si>
  <si>
    <t>Bankning bir qarzdor yoki oʻzaro aloqador qarzdorlar guruhiga toʻgʻri keluvchi taʼminotsiz (ishonchga asoslangan) kredit, shuningdek faktoring xizmatlari uchun tavakkalchilikning eng koʻp miqdori</t>
  </si>
  <si>
    <t>Bir qarz oluvchi yoki oʻzaro aloqador qarzdorlar guruhiga toʻgʻri keluvchi taʼminlanmagan aktivning maksimal qiymati (banklararo operatsiyalar boʻyicha xatarlar hisobga olinmaganda)</t>
  </si>
  <si>
    <t>Bankka aloqador shaxslar va ularga toʻgʻri keluvchi tavakkalchilik koʻrsatkichlari</t>
  </si>
  <si>
    <t xml:space="preserve"> 4.1</t>
  </si>
  <si>
    <t>Bankka aloqador bitta shaxsga toʻgʻri keluvchi tavakkalchilikning eng koʻp miqdori</t>
  </si>
  <si>
    <t>Bank bilan aloqador bir shaxsga toʻgʻri keluvchi xatarning maksimal qiymati</t>
  </si>
  <si>
    <t xml:space="preserve"> 4.2</t>
  </si>
  <si>
    <t>Bankka aloqador boʻlgan barcha shaxslarga toʻgʻri keluvchi tavakkalchilikning eng koʻp miqdori</t>
  </si>
  <si>
    <t>Bank bilan aloqador shaxslarga toʻgʻri keluvchi xatarlarning jami summasi</t>
  </si>
  <si>
    <t>Boshqaruv Rais imzosi:</t>
  </si>
  <si>
    <t>Bosh buxgalter imzosi:</t>
  </si>
  <si>
    <t>17-jadval</t>
  </si>
  <si>
    <t>BOSHQA MAʼLUMOTLAR</t>
  </si>
  <si>
    <t>Bank nomi</t>
  </si>
  <si>
    <t>Bank xodimlari soni, bosh ofis, boʻlim va filiallarini hisobga olgan holda</t>
  </si>
  <si>
    <t>a</t>
  </si>
  <si>
    <t>Shtat jadvali boʻyicha xodimlar soni</t>
  </si>
  <si>
    <t>b</t>
  </si>
  <si>
    <t xml:space="preserve">Amalda ishlaydigan bank xodimlari soni </t>
  </si>
  <si>
    <t>Bankning umumiy boʻlinmalari soni, bosh ofis va filiallarini hisobga olgan holda</t>
  </si>
  <si>
    <t>shundan:</t>
  </si>
  <si>
    <t>filiallar soni</t>
  </si>
  <si>
    <t>mini banklar soni</t>
  </si>
  <si>
    <t>d</t>
  </si>
  <si>
    <t>bankdan tashqarida joylashgan chakana kassalar soni</t>
  </si>
  <si>
    <t>e</t>
  </si>
  <si>
    <t>bank xizmatlari markazlari soni</t>
  </si>
  <si>
    <t>Bank mijozlari bazasi</t>
  </si>
  <si>
    <t>jismoniy shaxslar</t>
  </si>
  <si>
    <t>yakka tartibdagi tadbirkorlar</t>
  </si>
  <si>
    <t>yuridik shaxslar</t>
  </si>
  <si>
    <t>shundan bankda asosiy hisob raqami mavjud mijozlar soni</t>
  </si>
  <si>
    <t>-</t>
  </si>
  <si>
    <t>davlat korxonalari</t>
  </si>
  <si>
    <t>xususiy korxonalar</t>
  </si>
  <si>
    <t>fermer hoʻjaligi</t>
  </si>
  <si>
    <t>hukumat</t>
  </si>
  <si>
    <t>boshqalar</t>
  </si>
  <si>
    <t>Bank reytingi</t>
  </si>
  <si>
    <t>Reyting kompaniyaning nomi</t>
  </si>
  <si>
    <t>Ahbor-Reyting</t>
  </si>
  <si>
    <t>Bankning reyting bahosi</t>
  </si>
  <si>
    <t xml:space="preserve">UzB++ </t>
  </si>
  <si>
    <t>хисоботда нетто активлар кўрсатилади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</si>
</sst>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F800]dddd\,\ mmmm\ dd\,\ yyyy"/>
    <numFmt numFmtId="165" formatCode="_-* #,##0&quot;р.&quot;_-;\-* #,##0&quot;р.&quot;_-;_-* &quot;-&quot;&quot;р.&quot;_-;_-@_-"/>
    <numFmt numFmtId="166" formatCode="#,##0.0"/>
    <numFmt numFmtId="167" formatCode="_-* #,##0.00\ _₽_-;\-* #,##0.00\ _₽_-;_-* &quot;-&quot;??\ _₽_-;_-@_-"/>
    <numFmt numFmtId="168" formatCode="#,##0_ ;[Red]\-#,##0\ "/>
    <numFmt numFmtId="169" formatCode="0.000"/>
  </numFmts>
  <fonts count="38" x14ac:knownFonts="1">
    <font>
      <sz val="11"/>
      <color theme="1"/>
      <name val="Calibri"/>
      <family val="2"/>
      <scheme val="minor"/>
    </font>
    <font>
      <sz val="11"/>
      <color theme="1"/>
      <name val="Calibri"/>
      <family val="2"/>
      <charset val="204"/>
      <scheme val="minor"/>
    </font>
    <font>
      <sz val="11"/>
      <color theme="1"/>
      <name val="Calibri"/>
      <family val="2"/>
      <scheme val="minor"/>
    </font>
    <font>
      <sz val="10"/>
      <name val="Arial Cyr"/>
      <charset val="204"/>
    </font>
    <font>
      <sz val="10"/>
      <name val="Arial Cyr"/>
      <family val="2"/>
      <charset val="204"/>
    </font>
    <font>
      <b/>
      <sz val="11"/>
      <name val="Arial Cyr"/>
      <family val="2"/>
      <charset val="204"/>
    </font>
    <font>
      <b/>
      <sz val="12"/>
      <name val="Arial Cyr"/>
      <family val="2"/>
      <charset val="204"/>
    </font>
    <font>
      <b/>
      <sz val="10"/>
      <color theme="0"/>
      <name val="Arial Cyr"/>
      <family val="2"/>
      <charset val="204"/>
    </font>
    <font>
      <b/>
      <sz val="10"/>
      <name val="Arial Cyr"/>
      <family val="2"/>
      <charset val="204"/>
    </font>
    <font>
      <b/>
      <sz val="20"/>
      <name val="Arial Cyr"/>
      <charset val="204"/>
    </font>
    <font>
      <b/>
      <sz val="10"/>
      <name val="Arial Cyr"/>
      <charset val="204"/>
    </font>
    <font>
      <sz val="10"/>
      <name val="Times New Roman"/>
      <family val="1"/>
    </font>
    <font>
      <sz val="10"/>
      <name val="Times New Roman"/>
      <family val="1"/>
      <charset val="204"/>
    </font>
    <font>
      <b/>
      <sz val="10"/>
      <name val="Times New Roman"/>
      <family val="1"/>
      <charset val="204"/>
    </font>
    <font>
      <u/>
      <sz val="12"/>
      <name val="Times New Roman"/>
      <family val="1"/>
      <charset val="204"/>
    </font>
    <font>
      <sz val="9"/>
      <name val="Arial Cyr"/>
      <family val="2"/>
      <charset val="204"/>
    </font>
    <font>
      <sz val="9"/>
      <name val="Times New Roman"/>
      <family val="1"/>
      <charset val="204"/>
    </font>
    <font>
      <b/>
      <sz val="9"/>
      <name val="Arial Cyr"/>
      <family val="2"/>
      <charset val="204"/>
    </font>
    <font>
      <i/>
      <sz val="10"/>
      <name val="Arial Cyr"/>
      <charset val="204"/>
    </font>
    <font>
      <b/>
      <sz val="14"/>
      <name val="Arial Cyr"/>
      <family val="2"/>
      <charset val="204"/>
    </font>
    <font>
      <sz val="14"/>
      <name val="Arial Cyr"/>
      <family val="2"/>
      <charset val="204"/>
    </font>
    <font>
      <b/>
      <sz val="16"/>
      <name val="Arial Cyr"/>
      <family val="2"/>
      <charset val="204"/>
    </font>
    <font>
      <sz val="12"/>
      <name val="Arial"/>
      <family val="2"/>
      <charset val="204"/>
    </font>
    <font>
      <sz val="11"/>
      <name val="Calibri"/>
      <family val="2"/>
      <charset val="204"/>
      <scheme val="minor"/>
    </font>
    <font>
      <sz val="12"/>
      <color theme="1"/>
      <name val="Arial"/>
      <family val="2"/>
      <charset val="204"/>
    </font>
    <font>
      <b/>
      <sz val="12"/>
      <name val="Arial"/>
      <family val="2"/>
      <charset val="204"/>
    </font>
    <font>
      <b/>
      <sz val="12"/>
      <color theme="1"/>
      <name val="Arial"/>
      <family val="2"/>
      <charset val="204"/>
    </font>
    <font>
      <sz val="11"/>
      <color theme="0" tint="-0.249977111117893"/>
      <name val="Calibri"/>
      <family val="2"/>
      <charset val="204"/>
      <scheme val="minor"/>
    </font>
    <font>
      <sz val="11"/>
      <name val="Arial Cyr"/>
      <family val="2"/>
      <charset val="204"/>
    </font>
    <font>
      <b/>
      <sz val="11"/>
      <name val="Times New Roman"/>
      <family val="1"/>
      <charset val="204"/>
    </font>
    <font>
      <sz val="9"/>
      <name val="Arial Cyr"/>
      <charset val="204"/>
    </font>
    <font>
      <sz val="9"/>
      <color rgb="FFFF0000"/>
      <name val="Arial Cyr"/>
      <family val="2"/>
      <charset val="204"/>
    </font>
    <font>
      <sz val="10"/>
      <color rgb="FFFF0000"/>
      <name val="Arial Cyr"/>
      <family val="2"/>
      <charset val="204"/>
    </font>
    <font>
      <b/>
      <sz val="10"/>
      <name val="Times New Roman"/>
      <family val="1"/>
    </font>
    <font>
      <sz val="8"/>
      <name val="Arial Cyr"/>
      <family val="2"/>
      <charset val="204"/>
    </font>
    <font>
      <b/>
      <sz val="14"/>
      <name val="Times New Roman"/>
      <family val="1"/>
      <charset val="204"/>
    </font>
    <font>
      <b/>
      <sz val="12"/>
      <name val="Times New Roman"/>
      <family val="1"/>
      <charset val="204"/>
    </font>
    <font>
      <i/>
      <sz val="10"/>
      <name val="Arial Cyr"/>
      <family val="2"/>
      <charset val="204"/>
    </font>
  </fonts>
  <fills count="6">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theme="0"/>
        <bgColor indexed="64"/>
      </patternFill>
    </fill>
    <fill>
      <patternFill patternType="solid">
        <fgColor rgb="FFFFFFFF"/>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s>
  <cellStyleXfs count="9">
    <xf numFmtId="0" fontId="0" fillId="0" borderId="0"/>
    <xf numFmtId="9" fontId="2" fillId="0" borderId="0" applyFont="0" applyFill="0" applyBorder="0" applyAlignment="0" applyProtection="0"/>
    <xf numFmtId="0" fontId="3" fillId="0" borderId="0"/>
    <xf numFmtId="165" fontId="4" fillId="0" borderId="0" applyFont="0" applyFill="0" applyBorder="0" applyAlignment="0" applyProtection="0"/>
    <xf numFmtId="0" fontId="3" fillId="0" borderId="0"/>
    <xf numFmtId="0" fontId="1" fillId="0" borderId="0"/>
    <xf numFmtId="0" fontId="3" fillId="0" borderId="0"/>
    <xf numFmtId="167" fontId="2" fillId="0" borderId="0" applyFont="0" applyFill="0" applyBorder="0" applyAlignment="0" applyProtection="0"/>
    <xf numFmtId="9" fontId="4" fillId="0" borderId="0" applyFont="0" applyFill="0" applyBorder="0" applyAlignment="0" applyProtection="0"/>
  </cellStyleXfs>
  <cellXfs count="264">
    <xf numFmtId="0" fontId="0" fillId="0" borderId="0" xfId="0"/>
    <xf numFmtId="0" fontId="4" fillId="0" borderId="0" xfId="2" applyFont="1"/>
    <xf numFmtId="0" fontId="5" fillId="0" borderId="0" xfId="2" applyFont="1" applyAlignment="1">
      <alignment horizontal="center" vertical="center" wrapText="1"/>
    </xf>
    <xf numFmtId="0" fontId="7" fillId="0" borderId="0" xfId="2" quotePrefix="1" applyFont="1" applyAlignment="1">
      <alignment horizontal="left"/>
    </xf>
    <xf numFmtId="0" fontId="8" fillId="0" borderId="0" xfId="2" applyFont="1" applyAlignment="1">
      <alignment horizontal="center"/>
    </xf>
    <xf numFmtId="3" fontId="9" fillId="0" borderId="0" xfId="2" applyNumberFormat="1" applyFont="1" applyAlignment="1">
      <alignment horizontal="center" vertical="center"/>
    </xf>
    <xf numFmtId="0" fontId="6" fillId="0" borderId="0" xfId="2" applyFont="1" applyAlignment="1" applyProtection="1">
      <alignment horizontal="center"/>
      <protection locked="0"/>
    </xf>
    <xf numFmtId="164" fontId="3" fillId="0" borderId="0" xfId="2" applyNumberFormat="1" applyAlignment="1" applyProtection="1">
      <alignment horizontal="center"/>
      <protection locked="0"/>
    </xf>
    <xf numFmtId="0" fontId="3" fillId="0" borderId="0" xfId="2"/>
    <xf numFmtId="15" fontId="3" fillId="0" borderId="0" xfId="2" applyNumberFormat="1" applyAlignment="1">
      <alignment horizontal="right"/>
    </xf>
    <xf numFmtId="3" fontId="10" fillId="2" borderId="1" xfId="2" applyNumberFormat="1" applyFont="1" applyFill="1" applyBorder="1" applyAlignment="1">
      <alignment horizontal="center" vertical="center" wrapText="1"/>
    </xf>
    <xf numFmtId="0" fontId="4" fillId="0" borderId="2" xfId="2" applyFont="1" applyBorder="1" applyAlignment="1">
      <alignment horizontal="center" vertical="center"/>
    </xf>
    <xf numFmtId="0" fontId="4" fillId="0" borderId="2" xfId="2" applyFont="1" applyBorder="1" applyAlignment="1">
      <alignment horizontal="left" vertical="center" wrapText="1" indent="1"/>
    </xf>
    <xf numFmtId="3" fontId="11" fillId="0" borderId="3" xfId="2" applyNumberFormat="1" applyFont="1" applyBorder="1" applyAlignment="1">
      <alignment horizontal="right"/>
    </xf>
    <xf numFmtId="3" fontId="11" fillId="0" borderId="3" xfId="2" applyNumberFormat="1" applyFont="1" applyBorder="1" applyAlignment="1" applyProtection="1">
      <alignment horizontal="right"/>
      <protection locked="0"/>
    </xf>
    <xf numFmtId="0" fontId="4" fillId="0" borderId="0" xfId="2" applyFont="1" applyAlignment="1">
      <alignment horizontal="left"/>
    </xf>
    <xf numFmtId="0" fontId="4" fillId="0" borderId="2" xfId="2" applyFont="1" applyBorder="1" applyAlignment="1">
      <alignment horizontal="left" vertical="center" indent="1"/>
    </xf>
    <xf numFmtId="3" fontId="11" fillId="0" borderId="3" xfId="2" applyNumberFormat="1" applyFont="1" applyBorder="1"/>
    <xf numFmtId="49" fontId="4" fillId="0" borderId="2" xfId="2" applyNumberFormat="1" applyFont="1" applyBorder="1" applyAlignment="1">
      <alignment horizontal="center" vertical="center"/>
    </xf>
    <xf numFmtId="0" fontId="4" fillId="0" borderId="2" xfId="2" applyFont="1" applyBorder="1" applyAlignment="1">
      <alignment horizontal="left" vertical="center" indent="2"/>
    </xf>
    <xf numFmtId="49" fontId="4" fillId="0" borderId="2" xfId="2" applyNumberFormat="1" applyFont="1" applyBorder="1" applyAlignment="1">
      <alignment horizontal="center" vertical="center" wrapText="1"/>
    </xf>
    <xf numFmtId="49" fontId="3" fillId="0" borderId="2" xfId="2" applyNumberFormat="1" applyBorder="1" applyAlignment="1">
      <alignment horizontal="center" vertical="center"/>
    </xf>
    <xf numFmtId="0" fontId="3" fillId="0" borderId="2" xfId="2" applyBorder="1" applyAlignment="1">
      <alignment horizontal="left" vertical="center" indent="1"/>
    </xf>
    <xf numFmtId="3" fontId="12" fillId="0" borderId="3" xfId="2" applyNumberFormat="1" applyFont="1" applyBorder="1" applyAlignment="1">
      <alignment horizontal="right"/>
    </xf>
    <xf numFmtId="0" fontId="3" fillId="0" borderId="2" xfId="2" applyBorder="1" applyAlignment="1">
      <alignment horizontal="left" vertical="center" wrapText="1" indent="2"/>
    </xf>
    <xf numFmtId="3" fontId="12" fillId="0" borderId="3" xfId="2" applyNumberFormat="1" applyFont="1" applyBorder="1" applyAlignment="1" applyProtection="1">
      <alignment horizontal="right"/>
      <protection locked="0"/>
    </xf>
    <xf numFmtId="49" fontId="8" fillId="0" borderId="2" xfId="2" applyNumberFormat="1" applyFont="1" applyBorder="1" applyAlignment="1">
      <alignment horizontal="center"/>
    </xf>
    <xf numFmtId="0" fontId="8" fillId="0" borderId="2" xfId="2" applyFont="1" applyBorder="1" applyAlignment="1">
      <alignment horizontal="left" vertical="center" indent="1"/>
    </xf>
    <xf numFmtId="3" fontId="13" fillId="0" borderId="1" xfId="2" applyNumberFormat="1" applyFont="1" applyBorder="1" applyAlignment="1">
      <alignment horizontal="right"/>
    </xf>
    <xf numFmtId="0" fontId="4" fillId="0" borderId="2" xfId="2" applyFont="1" applyBorder="1"/>
    <xf numFmtId="0" fontId="8" fillId="0" borderId="2" xfId="2" applyFont="1" applyBorder="1" applyAlignment="1">
      <alignment horizontal="left"/>
    </xf>
    <xf numFmtId="0" fontId="8" fillId="0" borderId="2" xfId="2" applyFont="1" applyBorder="1" applyAlignment="1">
      <alignment horizontal="left" vertical="center"/>
    </xf>
    <xf numFmtId="0" fontId="4" fillId="0" borderId="2" xfId="3" applyNumberFormat="1" applyFont="1" applyFill="1" applyBorder="1" applyAlignment="1" applyProtection="1">
      <alignment horizontal="left" vertical="center" indent="1"/>
    </xf>
    <xf numFmtId="49" fontId="10" fillId="0" borderId="2" xfId="2" applyNumberFormat="1" applyFont="1" applyBorder="1" applyAlignment="1">
      <alignment horizontal="center" vertical="center"/>
    </xf>
    <xf numFmtId="0" fontId="10" fillId="0" borderId="2" xfId="2" applyFont="1" applyBorder="1" applyAlignment="1">
      <alignment horizontal="left" vertical="center" indent="1"/>
    </xf>
    <xf numFmtId="3" fontId="13" fillId="0" borderId="3" xfId="2" applyNumberFormat="1" applyFont="1" applyBorder="1" applyAlignment="1">
      <alignment horizontal="right"/>
    </xf>
    <xf numFmtId="49" fontId="4" fillId="0" borderId="2" xfId="3" applyNumberFormat="1" applyFont="1" applyFill="1" applyBorder="1" applyAlignment="1" applyProtection="1">
      <alignment horizontal="center" vertical="center"/>
    </xf>
    <xf numFmtId="0" fontId="4" fillId="0" borderId="1" xfId="2" applyFont="1" applyBorder="1" applyAlignment="1">
      <alignment horizontal="left" vertical="center" indent="1"/>
    </xf>
    <xf numFmtId="0" fontId="14" fillId="0" borderId="0" xfId="2" applyFont="1"/>
    <xf numFmtId="0" fontId="4" fillId="0" borderId="1" xfId="2" applyFont="1" applyBorder="1" applyAlignment="1">
      <alignment horizontal="left" vertical="center" indent="2"/>
    </xf>
    <xf numFmtId="49" fontId="8" fillId="0" borderId="2" xfId="2" applyNumberFormat="1" applyFont="1" applyBorder="1" applyAlignment="1">
      <alignment horizontal="center" vertical="center"/>
    </xf>
    <xf numFmtId="0" fontId="8" fillId="0" borderId="4" xfId="2" applyFont="1" applyBorder="1" applyAlignment="1">
      <alignment horizontal="left" vertical="center" indent="1"/>
    </xf>
    <xf numFmtId="0" fontId="4" fillId="0" borderId="0" xfId="4" applyFont="1" applyAlignment="1">
      <alignment horizontal="center" wrapText="1"/>
    </xf>
    <xf numFmtId="0" fontId="4" fillId="0" borderId="0" xfId="4" applyFont="1"/>
    <xf numFmtId="0" fontId="6" fillId="0" borderId="0" xfId="4" applyFont="1" applyAlignment="1">
      <alignment horizontal="right" vertical="center" wrapText="1"/>
    </xf>
    <xf numFmtId="0" fontId="15" fillId="0" borderId="0" xfId="4" applyFont="1" applyAlignment="1">
      <alignment horizontal="left"/>
    </xf>
    <xf numFmtId="164" fontId="4" fillId="0" borderId="5" xfId="4" applyNumberFormat="1" applyFont="1" applyBorder="1" applyAlignment="1" applyProtection="1">
      <alignment horizontal="left" indent="1"/>
      <protection locked="0"/>
    </xf>
    <xf numFmtId="0" fontId="5" fillId="0" borderId="0" xfId="4" applyFont="1" applyAlignment="1" applyProtection="1">
      <alignment horizontal="center" vertical="center"/>
      <protection locked="0"/>
    </xf>
    <xf numFmtId="164" fontId="4" fillId="0" borderId="0" xfId="4" applyNumberFormat="1" applyFont="1" applyAlignment="1">
      <alignment horizontal="right" indent="1"/>
    </xf>
    <xf numFmtId="3" fontId="10" fillId="2" borderId="1" xfId="4" applyNumberFormat="1" applyFont="1" applyFill="1" applyBorder="1" applyAlignment="1">
      <alignment horizontal="center" vertical="center" wrapText="1"/>
    </xf>
    <xf numFmtId="0" fontId="8" fillId="0" borderId="2" xfId="4" applyFont="1" applyBorder="1" applyAlignment="1">
      <alignment horizontal="center" vertical="center" wrapText="1"/>
    </xf>
    <xf numFmtId="0" fontId="8" fillId="0" borderId="2" xfId="4" applyFont="1" applyBorder="1" applyAlignment="1">
      <alignment horizontal="left" vertical="center" indent="1"/>
    </xf>
    <xf numFmtId="0" fontId="4" fillId="0" borderId="2" xfId="4" applyFont="1" applyBorder="1" applyAlignment="1">
      <alignment horizontal="left" vertical="center" indent="1"/>
    </xf>
    <xf numFmtId="3" fontId="11" fillId="0" borderId="3" xfId="4" applyNumberFormat="1" applyFont="1" applyBorder="1" applyAlignment="1" applyProtection="1">
      <alignment vertical="center"/>
      <protection locked="0"/>
    </xf>
    <xf numFmtId="0" fontId="16" fillId="0" borderId="0" xfId="4" applyFont="1" applyAlignment="1">
      <alignment horizontal="left"/>
    </xf>
    <xf numFmtId="3" fontId="4" fillId="0" borderId="0" xfId="0" applyNumberFormat="1" applyFont="1"/>
    <xf numFmtId="0" fontId="4" fillId="0" borderId="2" xfId="4" applyFont="1" applyBorder="1" applyAlignment="1">
      <alignment horizontal="left" vertical="center" wrapText="1" indent="1"/>
    </xf>
    <xf numFmtId="0" fontId="4" fillId="0" borderId="0" xfId="0" applyFont="1"/>
    <xf numFmtId="0" fontId="4" fillId="0" borderId="1" xfId="4" applyFont="1" applyBorder="1" applyAlignment="1">
      <alignment horizontal="left" vertical="center" indent="1"/>
    </xf>
    <xf numFmtId="49" fontId="8" fillId="0" borderId="2" xfId="4" applyNumberFormat="1" applyFont="1" applyBorder="1" applyAlignment="1">
      <alignment horizontal="center" vertical="center" wrapText="1"/>
    </xf>
    <xf numFmtId="0" fontId="8" fillId="0" borderId="2" xfId="4" quotePrefix="1" applyFont="1" applyBorder="1" applyAlignment="1">
      <alignment horizontal="left" vertical="center" indent="1"/>
    </xf>
    <xf numFmtId="3" fontId="10" fillId="0" borderId="3" xfId="4" applyNumberFormat="1" applyFont="1" applyBorder="1" applyAlignment="1">
      <alignment vertical="center"/>
    </xf>
    <xf numFmtId="3" fontId="4" fillId="3" borderId="3" xfId="4" applyNumberFormat="1" applyFont="1" applyFill="1" applyBorder="1" applyAlignment="1">
      <alignment vertical="center"/>
    </xf>
    <xf numFmtId="0" fontId="17" fillId="0" borderId="0" xfId="4" applyFont="1" applyAlignment="1">
      <alignment horizontal="left"/>
    </xf>
    <xf numFmtId="0" fontId="8" fillId="0" borderId="0" xfId="4" applyFont="1"/>
    <xf numFmtId="0" fontId="8" fillId="0" borderId="0" xfId="0" applyFont="1"/>
    <xf numFmtId="0" fontId="4" fillId="0" borderId="2" xfId="4" quotePrefix="1" applyFont="1" applyBorder="1" applyAlignment="1">
      <alignment horizontal="center" vertical="center" wrapText="1"/>
    </xf>
    <xf numFmtId="0" fontId="4" fillId="0" borderId="2" xfId="4" quotePrefix="1" applyFont="1" applyBorder="1" applyAlignment="1">
      <alignment horizontal="left" vertical="center" indent="1"/>
    </xf>
    <xf numFmtId="0" fontId="8" fillId="0" borderId="2" xfId="4" quotePrefix="1" applyFont="1" applyBorder="1" applyAlignment="1">
      <alignment horizontal="center" vertical="center" wrapText="1"/>
    </xf>
    <xf numFmtId="0" fontId="8" fillId="0" borderId="2" xfId="4" applyFont="1" applyBorder="1" applyAlignment="1">
      <alignment horizontal="left" vertical="center" wrapText="1" indent="1"/>
    </xf>
    <xf numFmtId="3" fontId="11" fillId="0" borderId="3" xfId="4" applyNumberFormat="1" applyFont="1" applyBorder="1" applyAlignment="1">
      <alignment vertical="center"/>
    </xf>
    <xf numFmtId="3" fontId="4" fillId="0" borderId="3" xfId="4" applyNumberFormat="1" applyFont="1" applyBorder="1" applyAlignment="1">
      <alignment vertical="center"/>
    </xf>
    <xf numFmtId="0" fontId="4" fillId="0" borderId="0" xfId="4" applyFont="1" applyAlignment="1">
      <alignment horizontal="center"/>
    </xf>
    <xf numFmtId="0" fontId="8" fillId="0" borderId="0" xfId="4" applyFont="1" applyAlignment="1">
      <alignment horizontal="center" vertical="center" wrapText="1"/>
    </xf>
    <xf numFmtId="0" fontId="8" fillId="0" borderId="0" xfId="4" applyFont="1" applyAlignment="1">
      <alignment horizontal="center" wrapText="1"/>
    </xf>
    <xf numFmtId="0" fontId="18" fillId="0" borderId="0" xfId="4" applyFont="1" applyAlignment="1">
      <alignment horizontal="center" wrapText="1"/>
    </xf>
    <xf numFmtId="0" fontId="4" fillId="0" borderId="0" xfId="4" applyFont="1" applyFill="1"/>
    <xf numFmtId="49" fontId="19" fillId="0" borderId="0" xfId="0" applyNumberFormat="1" applyFont="1" applyAlignment="1">
      <alignment horizontal="centerContinuous" vertical="center"/>
    </xf>
    <xf numFmtId="3" fontId="19" fillId="0" borderId="0" xfId="0" applyNumberFormat="1" applyFont="1" applyAlignment="1">
      <alignment vertical="center" wrapText="1"/>
    </xf>
    <xf numFmtId="3" fontId="20" fillId="0" borderId="0" xfId="0" applyNumberFormat="1" applyFont="1" applyAlignment="1">
      <alignment vertical="center"/>
    </xf>
    <xf numFmtId="164" fontId="8" fillId="0" borderId="0" xfId="0" applyNumberFormat="1" applyFont="1" applyAlignment="1">
      <alignment horizontal="centerContinuous"/>
    </xf>
    <xf numFmtId="0" fontId="21" fillId="0" borderId="0" xfId="0" applyFont="1" applyAlignment="1">
      <alignment horizontal="center"/>
    </xf>
    <xf numFmtId="3" fontId="4" fillId="0" borderId="0" xfId="0" applyNumberFormat="1" applyFont="1" applyAlignment="1">
      <alignment horizontal="centerContinuous"/>
    </xf>
    <xf numFmtId="164" fontId="0" fillId="0" borderId="0" xfId="0" applyNumberFormat="1" applyAlignment="1">
      <alignment horizontal="center"/>
    </xf>
    <xf numFmtId="3" fontId="22" fillId="2" borderId="4" xfId="5" applyNumberFormat="1" applyFont="1" applyFill="1" applyBorder="1" applyAlignment="1">
      <alignment horizontal="center" vertical="center" wrapText="1"/>
    </xf>
    <xf numFmtId="0" fontId="23" fillId="0" borderId="0" xfId="5" applyFont="1"/>
    <xf numFmtId="0" fontId="1" fillId="0" borderId="0" xfId="5"/>
    <xf numFmtId="3" fontId="22" fillId="2" borderId="1" xfId="6" applyNumberFormat="1" applyFont="1" applyFill="1" applyBorder="1" applyAlignment="1">
      <alignment horizontal="center" vertical="center" textRotation="90" wrapText="1"/>
    </xf>
    <xf numFmtId="49" fontId="22" fillId="0" borderId="1" xfId="5" applyNumberFormat="1" applyFont="1" applyBorder="1" applyAlignment="1">
      <alignment horizontal="center" vertical="center"/>
    </xf>
    <xf numFmtId="0" fontId="22" fillId="0" borderId="1" xfId="5" applyFont="1" applyBorder="1" applyAlignment="1">
      <alignment vertical="center" wrapText="1"/>
    </xf>
    <xf numFmtId="166" fontId="22" fillId="0" borderId="1" xfId="5" applyNumberFormat="1" applyFont="1" applyBorder="1" applyAlignment="1" applyProtection="1">
      <alignment horizontal="center" vertical="center"/>
      <protection locked="0"/>
    </xf>
    <xf numFmtId="166" fontId="24" fillId="0" borderId="1" xfId="5" applyNumberFormat="1" applyFont="1" applyBorder="1" applyAlignment="1">
      <alignment horizontal="center" vertical="center"/>
    </xf>
    <xf numFmtId="167" fontId="23" fillId="0" borderId="0" xfId="7" applyFont="1" applyFill="1" applyProtection="1"/>
    <xf numFmtId="166" fontId="25" fillId="0" borderId="1" xfId="5" applyNumberFormat="1" applyFont="1" applyBorder="1" applyAlignment="1">
      <alignment horizontal="center" vertical="center"/>
    </xf>
    <xf numFmtId="166" fontId="26" fillId="0" borderId="1" xfId="5" applyNumberFormat="1" applyFont="1" applyBorder="1" applyAlignment="1">
      <alignment horizontal="center" vertical="center"/>
    </xf>
    <xf numFmtId="0" fontId="24" fillId="0" borderId="1" xfId="0" applyFont="1" applyBorder="1" applyAlignment="1">
      <alignment vertical="center" wrapText="1"/>
    </xf>
    <xf numFmtId="166" fontId="22" fillId="0" borderId="1" xfId="5" applyNumberFormat="1" applyFont="1" applyBorder="1" applyAlignment="1" applyProtection="1">
      <alignment horizontal="left" vertical="center"/>
      <protection locked="0"/>
    </xf>
    <xf numFmtId="166" fontId="25" fillId="0" borderId="1" xfId="5" applyNumberFormat="1" applyFont="1" applyBorder="1" applyAlignment="1" applyProtection="1">
      <alignment horizontal="center" vertical="center"/>
      <protection locked="0"/>
    </xf>
    <xf numFmtId="0" fontId="22" fillId="0" borderId="1" xfId="0" applyFont="1" applyBorder="1" applyAlignment="1">
      <alignment vertical="center" wrapText="1"/>
    </xf>
    <xf numFmtId="0" fontId="25" fillId="0" borderId="1" xfId="5" applyFont="1" applyBorder="1" applyAlignment="1">
      <alignment horizontal="left" vertical="center" wrapText="1" indent="1"/>
    </xf>
    <xf numFmtId="0" fontId="1" fillId="0" borderId="1" xfId="5" applyBorder="1"/>
    <xf numFmtId="0" fontId="1" fillId="0" borderId="1" xfId="5" applyBorder="1" applyProtection="1">
      <protection locked="0"/>
    </xf>
    <xf numFmtId="168" fontId="1" fillId="0" borderId="0" xfId="5" applyNumberFormat="1"/>
    <xf numFmtId="0" fontId="27" fillId="0" borderId="0" xfId="5" applyFont="1"/>
    <xf numFmtId="3" fontId="8" fillId="0" borderId="0" xfId="0" applyNumberFormat="1" applyFont="1" applyAlignment="1">
      <alignment horizontal="centerContinuous" vertical="center" wrapText="1"/>
    </xf>
    <xf numFmtId="3" fontId="8" fillId="0" borderId="0" xfId="0" applyNumberFormat="1" applyFont="1" applyAlignment="1">
      <alignment horizontal="centerContinuous" vertical="center"/>
    </xf>
    <xf numFmtId="3" fontId="4" fillId="0" borderId="0" xfId="0" applyNumberFormat="1" applyFont="1" applyAlignment="1">
      <alignment horizontal="centerContinuous" vertical="center"/>
    </xf>
    <xf numFmtId="0" fontId="4" fillId="0" borderId="0" xfId="0" applyFont="1" applyAlignment="1">
      <alignment horizontal="centerContinuous" vertical="center"/>
    </xf>
    <xf numFmtId="3" fontId="6" fillId="0" borderId="0" xfId="0" applyNumberFormat="1" applyFont="1" applyAlignment="1">
      <alignment horizontal="center" vertical="center" wrapText="1"/>
    </xf>
    <xf numFmtId="0" fontId="4" fillId="0" borderId="0" xfId="0" applyFont="1" applyAlignment="1">
      <alignment vertical="center"/>
    </xf>
    <xf numFmtId="49" fontId="4" fillId="0" borderId="0" xfId="0" applyNumberFormat="1" applyFont="1"/>
    <xf numFmtId="3" fontId="4" fillId="0" borderId="0" xfId="8" applyNumberFormat="1" applyFont="1" applyProtection="1"/>
    <xf numFmtId="3" fontId="20" fillId="0" borderId="0" xfId="5" applyNumberFormat="1" applyFont="1" applyAlignment="1">
      <alignment vertical="center"/>
    </xf>
    <xf numFmtId="3" fontId="4" fillId="0" borderId="0" xfId="5" applyNumberFormat="1" applyFont="1"/>
    <xf numFmtId="0" fontId="28" fillId="0" borderId="0" xfId="5" applyFont="1" applyAlignment="1">
      <alignment vertical="center"/>
    </xf>
    <xf numFmtId="49" fontId="25" fillId="0" borderId="1" xfId="2" applyNumberFormat="1" applyFont="1" applyBorder="1" applyAlignment="1">
      <alignment horizontal="center" vertical="center"/>
    </xf>
    <xf numFmtId="3" fontId="25" fillId="0" borderId="1" xfId="2" applyNumberFormat="1" applyFont="1" applyBorder="1" applyAlignment="1">
      <alignment horizontal="left" vertical="center" wrapText="1" indent="2"/>
    </xf>
    <xf numFmtId="166" fontId="25" fillId="0" borderId="1" xfId="6" applyNumberFormat="1" applyFont="1" applyBorder="1" applyAlignment="1">
      <alignment horizontal="center" vertical="center"/>
    </xf>
    <xf numFmtId="167" fontId="28" fillId="0" borderId="0" xfId="7" applyFont="1" applyAlignment="1">
      <alignment horizontal="center" vertical="center"/>
    </xf>
    <xf numFmtId="3" fontId="25" fillId="0" borderId="1" xfId="2" applyNumberFormat="1" applyFont="1" applyBorder="1" applyAlignment="1">
      <alignment horizontal="left" vertical="center" wrapText="1" indent="1"/>
    </xf>
    <xf numFmtId="49" fontId="22" fillId="0" borderId="1" xfId="2" applyNumberFormat="1" applyFont="1" applyBorder="1" applyAlignment="1">
      <alignment horizontal="center" vertical="center"/>
    </xf>
    <xf numFmtId="0" fontId="22" fillId="4" borderId="1" xfId="0" applyFont="1" applyFill="1" applyBorder="1" applyAlignment="1">
      <alignment horizontal="left" vertical="center" wrapText="1"/>
    </xf>
    <xf numFmtId="166" fontId="22" fillId="0" borderId="1" xfId="6" applyNumberFormat="1" applyFont="1" applyBorder="1" applyAlignment="1" applyProtection="1">
      <alignment horizontal="center" vertical="center"/>
      <protection locked="0"/>
    </xf>
    <xf numFmtId="166" fontId="22" fillId="0" borderId="1" xfId="5" applyNumberFormat="1" applyFont="1" applyBorder="1" applyAlignment="1">
      <alignment horizontal="center" vertical="center"/>
    </xf>
    <xf numFmtId="0" fontId="22" fillId="0" borderId="1" xfId="0" applyFont="1" applyBorder="1" applyAlignment="1">
      <alignment horizontal="left" vertical="center" wrapText="1"/>
    </xf>
    <xf numFmtId="0" fontId="25" fillId="0" borderId="1" xfId="0" applyFont="1" applyBorder="1" applyAlignment="1">
      <alignment horizontal="left" vertical="center" wrapText="1"/>
    </xf>
    <xf numFmtId="0" fontId="22" fillId="5" borderId="1" xfId="0" applyFont="1" applyFill="1" applyBorder="1" applyAlignment="1">
      <alignment horizontal="left" vertical="center" wrapText="1"/>
    </xf>
    <xf numFmtId="0" fontId="22" fillId="0" borderId="1" xfId="5" applyFont="1" applyBorder="1" applyAlignment="1">
      <alignment vertical="center"/>
    </xf>
    <xf numFmtId="0" fontId="25" fillId="0" borderId="1" xfId="5" applyFont="1" applyBorder="1" applyAlignment="1">
      <alignment vertical="center"/>
    </xf>
    <xf numFmtId="166" fontId="25" fillId="0" borderId="4" xfId="6" applyNumberFormat="1" applyFont="1" applyBorder="1" applyAlignment="1">
      <alignment horizontal="center" vertical="center"/>
    </xf>
    <xf numFmtId="166" fontId="25" fillId="0" borderId="8" xfId="6" applyNumberFormat="1" applyFont="1" applyBorder="1" applyAlignment="1">
      <alignment horizontal="center" vertical="center"/>
    </xf>
    <xf numFmtId="49" fontId="4" fillId="0" borderId="0" xfId="5" applyNumberFormat="1" applyFont="1"/>
    <xf numFmtId="0" fontId="4" fillId="0" borderId="0" xfId="4" applyFont="1" applyAlignment="1">
      <alignment vertical="center"/>
    </xf>
    <xf numFmtId="0" fontId="4" fillId="0" borderId="0" xfId="4" applyFont="1" applyAlignment="1">
      <alignment wrapText="1"/>
    </xf>
    <xf numFmtId="0" fontId="6" fillId="0" borderId="0" xfId="4" applyFont="1" applyAlignment="1">
      <alignment horizontal="center" vertical="center" wrapText="1"/>
    </xf>
    <xf numFmtId="164" fontId="8" fillId="0" borderId="0" xfId="4" quotePrefix="1" applyNumberFormat="1" applyFont="1" applyAlignment="1">
      <alignment horizontal="centerContinuous" vertical="center"/>
    </xf>
    <xf numFmtId="0" fontId="4" fillId="0" borderId="0" xfId="4" applyFont="1" applyAlignment="1">
      <alignment horizontal="centerContinuous"/>
    </xf>
    <xf numFmtId="164" fontId="4" fillId="0" borderId="0" xfId="4" applyNumberFormat="1" applyFont="1" applyProtection="1">
      <protection locked="0"/>
    </xf>
    <xf numFmtId="0" fontId="11" fillId="0" borderId="0" xfId="4" applyFont="1" applyAlignment="1">
      <alignment horizontal="centerContinuous" vertical="center"/>
    </xf>
    <xf numFmtId="0" fontId="11" fillId="0" borderId="0" xfId="4" applyFont="1" applyAlignment="1">
      <alignment horizontal="centerContinuous"/>
    </xf>
    <xf numFmtId="0" fontId="8" fillId="0" borderId="0" xfId="4" applyFont="1" applyAlignment="1">
      <alignment vertical="center"/>
    </xf>
    <xf numFmtId="0" fontId="8" fillId="0" borderId="1" xfId="4" applyFont="1" applyBorder="1" applyAlignment="1">
      <alignment horizontal="center" vertical="center"/>
    </xf>
    <xf numFmtId="2" fontId="4" fillId="0" borderId="6" xfId="4" applyNumberFormat="1" applyFont="1" applyBorder="1" applyAlignment="1">
      <alignment horizontal="center" vertical="center"/>
    </xf>
    <xf numFmtId="9" fontId="4" fillId="0" borderId="3" xfId="1" applyFont="1" applyBorder="1" applyAlignment="1" applyProtection="1">
      <alignment horizontal="center" vertical="center"/>
    </xf>
    <xf numFmtId="49" fontId="8" fillId="0" borderId="1" xfId="4" applyNumberFormat="1" applyFont="1" applyBorder="1" applyAlignment="1">
      <alignment horizontal="center" vertical="center"/>
    </xf>
    <xf numFmtId="2" fontId="4" fillId="0" borderId="3" xfId="4" applyNumberFormat="1" applyFont="1" applyBorder="1" applyAlignment="1">
      <alignment horizontal="center" vertical="center"/>
    </xf>
    <xf numFmtId="0" fontId="34" fillId="0" borderId="0" xfId="0" applyFont="1"/>
    <xf numFmtId="3" fontId="35" fillId="2" borderId="1" xfId="4" applyNumberFormat="1" applyFont="1" applyFill="1" applyBorder="1" applyAlignment="1">
      <alignment horizontal="center" vertical="center" wrapText="1"/>
    </xf>
    <xf numFmtId="0" fontId="10" fillId="0" borderId="4" xfId="4" applyFont="1" applyBorder="1" applyAlignment="1">
      <alignment horizontal="center" vertical="center"/>
    </xf>
    <xf numFmtId="0" fontId="10" fillId="0" borderId="1" xfId="4" applyFont="1" applyBorder="1" applyAlignment="1">
      <alignment horizontal="left" vertical="center" wrapText="1" indent="2"/>
    </xf>
    <xf numFmtId="3" fontId="18" fillId="0" borderId="1" xfId="4" applyNumberFormat="1" applyFont="1" applyBorder="1" applyAlignment="1" applyProtection="1">
      <alignment horizontal="center" vertical="center"/>
      <protection locked="0"/>
    </xf>
    <xf numFmtId="0" fontId="18" fillId="0" borderId="4" xfId="4" applyFont="1" applyBorder="1" applyAlignment="1">
      <alignment horizontal="center" vertical="center"/>
    </xf>
    <xf numFmtId="0" fontId="37" fillId="0" borderId="1" xfId="4" applyFont="1" applyBorder="1" applyAlignment="1">
      <alignment horizontal="left" vertical="center" wrapText="1" indent="4"/>
    </xf>
    <xf numFmtId="0" fontId="18" fillId="0" borderId="0" xfId="4" applyFont="1" applyAlignment="1">
      <alignment vertical="center"/>
    </xf>
    <xf numFmtId="0" fontId="18" fillId="0" borderId="1" xfId="4" applyFont="1" applyBorder="1" applyAlignment="1">
      <alignment horizontal="left" vertical="center" wrapText="1" indent="4"/>
    </xf>
    <xf numFmtId="3" fontId="4" fillId="0" borderId="1" xfId="4" applyNumberFormat="1" applyFont="1" applyBorder="1" applyAlignment="1" applyProtection="1">
      <alignment horizontal="center" vertical="center"/>
      <protection locked="0"/>
    </xf>
    <xf numFmtId="0" fontId="10" fillId="0" borderId="1" xfId="4" applyFont="1" applyBorder="1" applyAlignment="1">
      <alignment horizontal="left" vertical="center" wrapText="1" indent="4"/>
    </xf>
    <xf numFmtId="3" fontId="18" fillId="0" borderId="1" xfId="4" applyNumberFormat="1" applyFont="1" applyBorder="1" applyAlignment="1">
      <alignment horizontal="center" vertical="center"/>
    </xf>
    <xf numFmtId="0" fontId="18" fillId="0" borderId="0" xfId="0" applyFont="1" applyAlignment="1">
      <alignment vertical="center"/>
    </xf>
    <xf numFmtId="0" fontId="18" fillId="0" borderId="1" xfId="4" applyFont="1" applyBorder="1" applyAlignment="1">
      <alignment horizontal="left" vertical="center" wrapText="1" indent="5"/>
    </xf>
    <xf numFmtId="49" fontId="4" fillId="0" borderId="1" xfId="4" applyNumberFormat="1" applyFont="1" applyBorder="1" applyAlignment="1" applyProtection="1">
      <alignment horizontal="center" vertical="center"/>
      <protection locked="0"/>
    </xf>
    <xf numFmtId="14" fontId="36" fillId="2" borderId="1" xfId="4" applyNumberFormat="1" applyFont="1" applyFill="1" applyBorder="1" applyAlignment="1">
      <alignment horizontal="center" vertical="center" wrapText="1"/>
    </xf>
    <xf numFmtId="9" fontId="4" fillId="0" borderId="3" xfId="1" applyFont="1" applyFill="1" applyBorder="1" applyAlignment="1" applyProtection="1">
      <alignment horizontal="center" vertical="center"/>
    </xf>
    <xf numFmtId="0" fontId="4" fillId="0" borderId="2" xfId="4" applyFont="1" applyBorder="1" applyAlignment="1">
      <alignment horizontal="center" vertical="center" wrapText="1"/>
    </xf>
    <xf numFmtId="9" fontId="4" fillId="0" borderId="7" xfId="1" applyFont="1" applyFill="1" applyBorder="1" applyAlignment="1" applyProtection="1">
      <alignment horizontal="center" vertical="center"/>
    </xf>
    <xf numFmtId="0" fontId="4" fillId="0" borderId="4" xfId="4" applyFont="1" applyBorder="1" applyAlignment="1">
      <alignment horizontal="center" vertical="center"/>
    </xf>
    <xf numFmtId="3" fontId="29" fillId="2" borderId="1" xfId="4" applyNumberFormat="1" applyFont="1" applyFill="1" applyBorder="1" applyAlignment="1">
      <alignment horizontal="center" vertical="center" wrapText="1"/>
    </xf>
    <xf numFmtId="0" fontId="6" fillId="0" borderId="0" xfId="2" applyFont="1" applyAlignment="1">
      <alignment horizontal="center"/>
    </xf>
    <xf numFmtId="0" fontId="6" fillId="0" borderId="0" xfId="4" applyFont="1" applyAlignment="1">
      <alignment horizontal="center"/>
    </xf>
    <xf numFmtId="3" fontId="22" fillId="2" borderId="6" xfId="5" applyNumberFormat="1" applyFont="1" applyFill="1" applyBorder="1" applyAlignment="1">
      <alignment horizontal="center" vertical="center" wrapText="1"/>
    </xf>
    <xf numFmtId="3" fontId="22" fillId="2" borderId="3" xfId="5" applyNumberFormat="1" applyFont="1" applyFill="1" applyBorder="1" applyAlignment="1">
      <alignment horizontal="center" vertical="center" wrapText="1"/>
    </xf>
    <xf numFmtId="3" fontId="22" fillId="2" borderId="1" xfId="5" applyNumberFormat="1" applyFont="1" applyFill="1" applyBorder="1" applyAlignment="1">
      <alignment horizontal="center" vertical="center" wrapText="1"/>
    </xf>
    <xf numFmtId="3" fontId="22" fillId="2" borderId="1" xfId="6" applyNumberFormat="1" applyFont="1" applyFill="1" applyBorder="1" applyAlignment="1">
      <alignment horizontal="center" vertical="center" wrapText="1"/>
    </xf>
    <xf numFmtId="3" fontId="22" fillId="2" borderId="7" xfId="5" applyNumberFormat="1" applyFont="1" applyFill="1" applyBorder="1" applyAlignment="1">
      <alignment horizontal="center" vertical="center" wrapText="1"/>
    </xf>
    <xf numFmtId="0" fontId="6" fillId="0" borderId="0" xfId="4" applyFont="1" applyAlignment="1">
      <alignment horizontal="center" vertical="center"/>
    </xf>
    <xf numFmtId="0" fontId="6" fillId="0" borderId="5" xfId="4" applyFont="1" applyBorder="1" applyAlignment="1" applyProtection="1">
      <alignment horizontal="center" wrapText="1"/>
      <protection locked="0"/>
    </xf>
    <xf numFmtId="0" fontId="4" fillId="0" borderId="4" xfId="4" applyFont="1" applyBorder="1" applyAlignment="1">
      <alignment horizontal="center" vertical="center"/>
    </xf>
    <xf numFmtId="0" fontId="4" fillId="0" borderId="9" xfId="4" applyFont="1" applyBorder="1" applyAlignment="1">
      <alignment horizontal="center" vertical="center"/>
    </xf>
    <xf numFmtId="0" fontId="4" fillId="0" borderId="10" xfId="4" applyFont="1" applyBorder="1" applyAlignment="1">
      <alignment horizontal="center" vertical="center"/>
    </xf>
    <xf numFmtId="3" fontId="29" fillId="2" borderId="1" xfId="4" applyNumberFormat="1" applyFont="1" applyFill="1" applyBorder="1" applyAlignment="1">
      <alignment horizontal="center" vertical="center" wrapText="1"/>
    </xf>
    <xf numFmtId="0" fontId="8" fillId="0" borderId="4" xfId="4" applyFont="1" applyBorder="1" applyAlignment="1">
      <alignment horizontal="center"/>
    </xf>
    <xf numFmtId="0" fontId="8" fillId="0" borderId="9" xfId="4" applyFont="1" applyBorder="1" applyAlignment="1">
      <alignment horizontal="center"/>
    </xf>
    <xf numFmtId="0" fontId="8" fillId="0" borderId="10" xfId="4" applyFont="1" applyBorder="1" applyAlignment="1">
      <alignment horizontal="center"/>
    </xf>
    <xf numFmtId="49" fontId="4" fillId="0" borderId="6" xfId="4" applyNumberFormat="1" applyFont="1" applyBorder="1" applyAlignment="1">
      <alignment horizontal="center" vertical="center"/>
    </xf>
    <xf numFmtId="49" fontId="4" fillId="0" borderId="3" xfId="4" applyNumberFormat="1" applyFont="1" applyBorder="1" applyAlignment="1">
      <alignment horizontal="center" vertical="center"/>
    </xf>
    <xf numFmtId="0" fontId="15" fillId="0" borderId="11" xfId="4" applyFont="1" applyBorder="1" applyAlignment="1">
      <alignment horizontal="center" vertical="center"/>
    </xf>
    <xf numFmtId="0" fontId="4" fillId="0" borderId="12" xfId="4" applyFont="1" applyBorder="1" applyAlignment="1">
      <alignment horizontal="center" vertical="center"/>
    </xf>
    <xf numFmtId="0" fontId="4" fillId="0" borderId="13" xfId="4" applyFont="1" applyBorder="1" applyAlignment="1">
      <alignment horizontal="center" vertical="center"/>
    </xf>
    <xf numFmtId="0" fontId="4" fillId="0" borderId="2" xfId="4" applyFont="1" applyBorder="1" applyAlignment="1">
      <alignment horizontal="center" vertical="center"/>
    </xf>
    <xf numFmtId="0" fontId="4" fillId="0" borderId="5" xfId="4" applyFont="1" applyBorder="1" applyAlignment="1">
      <alignment horizontal="center" vertical="center"/>
    </xf>
    <xf numFmtId="0" fontId="4" fillId="0" borderId="14" xfId="4" applyFont="1" applyBorder="1" applyAlignment="1">
      <alignment horizontal="center" vertical="center"/>
    </xf>
    <xf numFmtId="0" fontId="15" fillId="0" borderId="4" xfId="4" applyFont="1" applyBorder="1" applyAlignment="1">
      <alignment horizontal="center" vertical="center" wrapText="1"/>
    </xf>
    <xf numFmtId="0" fontId="15" fillId="0" borderId="9" xfId="4" applyFont="1" applyBorder="1" applyAlignment="1">
      <alignment horizontal="center" vertical="center" wrapText="1"/>
    </xf>
    <xf numFmtId="0" fontId="15" fillId="0" borderId="10" xfId="4" applyFont="1" applyBorder="1" applyAlignment="1">
      <alignment horizontal="center" vertical="center" wrapText="1"/>
    </xf>
    <xf numFmtId="9" fontId="11" fillId="0" borderId="6" xfId="1" applyFont="1" applyBorder="1" applyAlignment="1" applyProtection="1">
      <alignment horizontal="center" vertical="center"/>
    </xf>
    <xf numFmtId="9" fontId="4" fillId="0" borderId="7" xfId="1" applyFont="1" applyBorder="1" applyAlignment="1" applyProtection="1">
      <alignment horizontal="center" vertical="center"/>
    </xf>
    <xf numFmtId="9" fontId="11" fillId="0" borderId="3" xfId="1" applyFont="1" applyBorder="1" applyAlignment="1" applyProtection="1">
      <alignment horizontal="center" vertical="center"/>
    </xf>
    <xf numFmtId="0" fontId="15" fillId="0" borderId="12" xfId="4" applyFont="1" applyBorder="1" applyAlignment="1">
      <alignment horizontal="center" vertical="center"/>
    </xf>
    <xf numFmtId="0" fontId="15" fillId="0" borderId="13" xfId="4" applyFont="1" applyBorder="1" applyAlignment="1">
      <alignment horizontal="center" vertical="center"/>
    </xf>
    <xf numFmtId="0" fontId="4" fillId="0" borderId="8" xfId="4" applyFont="1" applyBorder="1" applyAlignment="1">
      <alignment horizontal="center" vertical="center"/>
    </xf>
    <xf numFmtId="0" fontId="4" fillId="0" borderId="0" xfId="4" applyFont="1" applyAlignment="1">
      <alignment horizontal="center" vertical="center"/>
    </xf>
    <xf numFmtId="0" fontId="4" fillId="0" borderId="15" xfId="4" applyFont="1" applyBorder="1" applyAlignment="1">
      <alignment horizontal="center" vertical="center"/>
    </xf>
    <xf numFmtId="0" fontId="15" fillId="0" borderId="4" xfId="4" applyFont="1" applyBorder="1" applyAlignment="1">
      <alignment horizontal="center"/>
    </xf>
    <xf numFmtId="0" fontId="15" fillId="0" borderId="9" xfId="4" applyFont="1" applyBorder="1" applyAlignment="1">
      <alignment horizontal="center"/>
    </xf>
    <xf numFmtId="0" fontId="15" fillId="0" borderId="10" xfId="4" applyFont="1" applyBorder="1" applyAlignment="1">
      <alignment horizontal="center"/>
    </xf>
    <xf numFmtId="9" fontId="3" fillId="0" borderId="3" xfId="1" applyFont="1" applyBorder="1" applyProtection="1"/>
    <xf numFmtId="0" fontId="15" fillId="0" borderId="11" xfId="4" applyFont="1" applyBorder="1" applyAlignment="1">
      <alignment horizontal="center"/>
    </xf>
    <xf numFmtId="0" fontId="15" fillId="0" borderId="12" xfId="4" applyFont="1" applyBorder="1" applyAlignment="1">
      <alignment horizontal="center"/>
    </xf>
    <xf numFmtId="0" fontId="15" fillId="0" borderId="13" xfId="4" applyFont="1" applyBorder="1" applyAlignment="1">
      <alignment horizontal="center"/>
    </xf>
    <xf numFmtId="0" fontId="30" fillId="0" borderId="11" xfId="4" applyFont="1" applyBorder="1" applyAlignment="1">
      <alignment horizontal="center" vertical="center" wrapText="1"/>
    </xf>
    <xf numFmtId="0" fontId="31" fillId="0" borderId="12" xfId="4" quotePrefix="1" applyFont="1" applyBorder="1" applyAlignment="1">
      <alignment horizontal="center" vertical="center" wrapText="1"/>
    </xf>
    <xf numFmtId="0" fontId="31" fillId="0" borderId="13" xfId="4" quotePrefix="1" applyFont="1" applyBorder="1" applyAlignment="1">
      <alignment horizontal="center" vertical="center" wrapText="1"/>
    </xf>
    <xf numFmtId="0" fontId="32" fillId="0" borderId="2" xfId="4" applyFont="1" applyBorder="1" applyAlignment="1">
      <alignment horizontal="center" vertical="center"/>
    </xf>
    <xf numFmtId="0" fontId="32" fillId="0" borderId="5" xfId="4" applyFont="1" applyBorder="1" applyAlignment="1">
      <alignment horizontal="center" vertical="center"/>
    </xf>
    <xf numFmtId="0" fontId="32" fillId="0" borderId="14" xfId="4" applyFont="1" applyBorder="1" applyAlignment="1">
      <alignment horizontal="center" vertical="center"/>
    </xf>
    <xf numFmtId="0" fontId="15" fillId="0" borderId="11" xfId="4" applyFont="1" applyBorder="1" applyAlignment="1">
      <alignment horizontal="center" vertical="center" wrapText="1"/>
    </xf>
    <xf numFmtId="0" fontId="15" fillId="0" borderId="12" xfId="4" quotePrefix="1" applyFont="1" applyBorder="1" applyAlignment="1">
      <alignment horizontal="center" vertical="center" wrapText="1"/>
    </xf>
    <xf numFmtId="0" fontId="15" fillId="0" borderId="13" xfId="4" quotePrefix="1" applyFont="1" applyBorder="1" applyAlignment="1">
      <alignment horizontal="center" vertical="center" wrapText="1"/>
    </xf>
    <xf numFmtId="0" fontId="15" fillId="0" borderId="4" xfId="4" applyFont="1" applyBorder="1" applyAlignment="1">
      <alignment horizontal="center" vertical="center"/>
    </xf>
    <xf numFmtId="0" fontId="15" fillId="0" borderId="9" xfId="4" applyFont="1" applyBorder="1" applyAlignment="1">
      <alignment horizontal="center" vertical="center"/>
    </xf>
    <xf numFmtId="0" fontId="15" fillId="0" borderId="10" xfId="4" applyFont="1" applyBorder="1" applyAlignment="1">
      <alignment horizontal="center" vertical="center"/>
    </xf>
    <xf numFmtId="9" fontId="11" fillId="0" borderId="6" xfId="1" applyFont="1" applyFill="1" applyBorder="1" applyAlignment="1" applyProtection="1">
      <alignment horizontal="center" vertical="center"/>
    </xf>
    <xf numFmtId="9" fontId="4" fillId="0" borderId="7" xfId="1" applyFont="1" applyFill="1" applyBorder="1" applyAlignment="1" applyProtection="1">
      <alignment horizontal="center" vertical="center"/>
    </xf>
    <xf numFmtId="9" fontId="11" fillId="0" borderId="3" xfId="1" applyFont="1" applyFill="1" applyBorder="1" applyAlignment="1" applyProtection="1">
      <alignment horizontal="center" vertical="center"/>
    </xf>
    <xf numFmtId="0" fontId="3" fillId="0" borderId="1" xfId="4" applyBorder="1" applyAlignment="1">
      <alignment horizontal="center" vertical="center" wrapText="1"/>
    </xf>
    <xf numFmtId="0" fontId="15" fillId="0" borderId="11" xfId="4" quotePrefix="1" applyFont="1" applyBorder="1" applyAlignment="1">
      <alignment horizontal="center" vertical="center" wrapText="1"/>
    </xf>
    <xf numFmtId="0" fontId="15" fillId="0" borderId="2" xfId="4" quotePrefix="1" applyFont="1" applyBorder="1" applyAlignment="1">
      <alignment horizontal="center" vertical="center" wrapText="1"/>
    </xf>
    <xf numFmtId="0" fontId="15" fillId="0" borderId="5" xfId="4" quotePrefix="1" applyFont="1" applyBorder="1" applyAlignment="1">
      <alignment horizontal="center" vertical="center" wrapText="1"/>
    </xf>
    <xf numFmtId="0" fontId="10" fillId="0" borderId="6" xfId="4" applyFont="1" applyBorder="1" applyAlignment="1">
      <alignment horizontal="left" vertical="center" indent="4"/>
    </xf>
    <xf numFmtId="0" fontId="10" fillId="0" borderId="3" xfId="4" applyFont="1" applyBorder="1" applyAlignment="1">
      <alignment horizontal="left" vertical="center" indent="4"/>
    </xf>
    <xf numFmtId="0" fontId="4" fillId="0" borderId="11" xfId="4" applyFont="1" applyBorder="1" applyAlignment="1">
      <alignment horizontal="center" vertical="center" wrapText="1"/>
    </xf>
    <xf numFmtId="0" fontId="4" fillId="0" borderId="12" xfId="4" applyFont="1" applyBorder="1" applyAlignment="1">
      <alignment horizontal="center" vertical="center" wrapText="1"/>
    </xf>
    <xf numFmtId="0" fontId="4" fillId="0" borderId="13" xfId="4" applyFont="1" applyBorder="1" applyAlignment="1">
      <alignment horizontal="center" vertical="center" wrapText="1"/>
    </xf>
    <xf numFmtId="0" fontId="4" fillId="0" borderId="1" xfId="4" applyFont="1" applyBorder="1" applyAlignment="1">
      <alignment horizontal="center" vertical="center" wrapText="1"/>
    </xf>
    <xf numFmtId="0" fontId="3" fillId="0" borderId="11" xfId="4" applyBorder="1" applyAlignment="1">
      <alignment horizontal="center" vertical="center" wrapText="1"/>
    </xf>
    <xf numFmtId="0" fontId="3" fillId="0" borderId="12" xfId="4" applyBorder="1" applyAlignment="1">
      <alignment horizontal="center" vertical="center" wrapText="1"/>
    </xf>
    <xf numFmtId="0" fontId="3" fillId="0" borderId="13" xfId="4" applyBorder="1" applyAlignment="1">
      <alignment horizontal="center" vertical="center" wrapText="1"/>
    </xf>
    <xf numFmtId="0" fontId="4" fillId="0" borderId="8" xfId="4" applyFont="1" applyBorder="1" applyAlignment="1">
      <alignment horizontal="center" vertical="center" wrapText="1"/>
    </xf>
    <xf numFmtId="0" fontId="4" fillId="0" borderId="0" xfId="4" applyFont="1" applyAlignment="1">
      <alignment horizontal="center" vertical="center" wrapText="1"/>
    </xf>
    <xf numFmtId="0" fontId="4" fillId="0" borderId="15" xfId="4" applyFont="1" applyBorder="1" applyAlignment="1">
      <alignment horizontal="center" vertical="center" wrapText="1"/>
    </xf>
    <xf numFmtId="0" fontId="15" fillId="0" borderId="14" xfId="4" quotePrefix="1" applyFont="1" applyBorder="1" applyAlignment="1">
      <alignment horizontal="center" vertical="center" wrapText="1"/>
    </xf>
    <xf numFmtId="169" fontId="11" fillId="0" borderId="6" xfId="4" applyNumberFormat="1" applyFont="1" applyBorder="1" applyAlignment="1">
      <alignment horizontal="center" vertical="center"/>
    </xf>
    <xf numFmtId="169" fontId="4" fillId="0" borderId="3" xfId="4" applyNumberFormat="1" applyFont="1" applyBorder="1" applyAlignment="1">
      <alignment horizontal="center" vertical="center"/>
    </xf>
    <xf numFmtId="169" fontId="11" fillId="0" borderId="3" xfId="4" applyNumberFormat="1" applyFont="1" applyBorder="1" applyAlignment="1">
      <alignment horizontal="center" vertical="center"/>
    </xf>
    <xf numFmtId="0" fontId="4" fillId="0" borderId="2" xfId="4" applyFont="1" applyBorder="1" applyAlignment="1">
      <alignment horizontal="center" vertical="center" wrapText="1"/>
    </xf>
    <xf numFmtId="0" fontId="4" fillId="0" borderId="5" xfId="4" applyFont="1" applyBorder="1" applyAlignment="1">
      <alignment horizontal="center" vertical="center" wrapText="1"/>
    </xf>
    <xf numFmtId="0" fontId="4" fillId="0" borderId="14" xfId="4" applyFont="1" applyBorder="1" applyAlignment="1">
      <alignment horizontal="center" vertical="center" wrapText="1"/>
    </xf>
    <xf numFmtId="0" fontId="15" fillId="0" borderId="4" xfId="4" quotePrefix="1" applyFont="1" applyBorder="1" applyAlignment="1">
      <alignment horizontal="center" vertical="center" wrapText="1"/>
    </xf>
    <xf numFmtId="0" fontId="15" fillId="0" borderId="9" xfId="4" quotePrefix="1" applyFont="1" applyBorder="1" applyAlignment="1">
      <alignment horizontal="center" vertical="center" wrapText="1"/>
    </xf>
    <xf numFmtId="0" fontId="15" fillId="0" borderId="10" xfId="4" quotePrefix="1" applyFont="1" applyBorder="1" applyAlignment="1">
      <alignment horizontal="center" vertical="center" wrapText="1"/>
    </xf>
    <xf numFmtId="169" fontId="33" fillId="0" borderId="1" xfId="4" applyNumberFormat="1" applyFont="1" applyBorder="1" applyAlignment="1">
      <alignment horizontal="center" vertical="center"/>
    </xf>
    <xf numFmtId="169" fontId="8" fillId="0" borderId="1" xfId="4" applyNumberFormat="1" applyFont="1" applyBorder="1" applyAlignment="1">
      <alignment horizontal="center" vertical="center"/>
    </xf>
    <xf numFmtId="0" fontId="8" fillId="0" borderId="4" xfId="4" applyFont="1" applyBorder="1" applyAlignment="1">
      <alignment horizontal="center" wrapText="1"/>
    </xf>
    <xf numFmtId="0" fontId="15" fillId="0" borderId="1" xfId="4" applyFont="1" applyBorder="1" applyAlignment="1">
      <alignment horizontal="center" vertical="center" wrapText="1"/>
    </xf>
    <xf numFmtId="0" fontId="15" fillId="0" borderId="12" xfId="4" applyFont="1" applyBorder="1" applyAlignment="1">
      <alignment horizontal="center" vertical="center" wrapText="1"/>
    </xf>
    <xf numFmtId="0" fontId="15" fillId="0" borderId="13" xfId="4" applyFont="1" applyBorder="1" applyAlignment="1">
      <alignment horizontal="center" vertical="center" wrapText="1"/>
    </xf>
    <xf numFmtId="0" fontId="15" fillId="0" borderId="2" xfId="4" applyFont="1" applyBorder="1" applyAlignment="1">
      <alignment horizontal="center" vertical="center" wrapText="1"/>
    </xf>
    <xf numFmtId="0" fontId="15" fillId="0" borderId="5" xfId="4" applyFont="1" applyBorder="1" applyAlignment="1">
      <alignment horizontal="center" vertical="center" wrapText="1"/>
    </xf>
    <xf numFmtId="0" fontId="15" fillId="0" borderId="14" xfId="4" applyFont="1" applyBorder="1" applyAlignment="1">
      <alignment horizontal="center" vertical="center" wrapText="1"/>
    </xf>
    <xf numFmtId="169" fontId="11" fillId="0" borderId="1" xfId="4" applyNumberFormat="1" applyFont="1" applyBorder="1" applyAlignment="1">
      <alignment horizontal="center" vertical="center"/>
    </xf>
    <xf numFmtId="169" fontId="4" fillId="0" borderId="1" xfId="4" applyNumberFormat="1" applyFont="1" applyBorder="1" applyAlignment="1">
      <alignment horizontal="center" vertical="center"/>
    </xf>
    <xf numFmtId="9" fontId="4" fillId="0" borderId="3" xfId="1" applyFont="1" applyFill="1" applyBorder="1" applyAlignment="1" applyProtection="1">
      <alignment horizontal="center" vertical="center"/>
    </xf>
    <xf numFmtId="0" fontId="6" fillId="0" borderId="5" xfId="4" applyFont="1" applyBorder="1" applyAlignment="1">
      <alignment horizontal="center" vertical="center" wrapText="1"/>
    </xf>
    <xf numFmtId="14" fontId="4" fillId="0" borderId="0" xfId="2" applyNumberFormat="1" applyFont="1"/>
  </cellXfs>
  <cellStyles count="9">
    <cellStyle name="Денежный [0] 2" xfId="3" xr:uid="{96D4F9D5-793D-4A9C-BE3C-C5C75BF0B4EF}"/>
    <cellStyle name="Обычный" xfId="0" builtinId="0"/>
    <cellStyle name="Обычный 10 2 2 2" xfId="2" xr:uid="{547A04F9-2CD5-4086-8CB4-BD2ED0C011B8}"/>
    <cellStyle name="Обычный 105" xfId="6" xr:uid="{CA940ED5-680F-4D5A-B3FB-E0D0A8BFC74D}"/>
    <cellStyle name="Обычный 2" xfId="4" xr:uid="{5D8B4104-067B-46F5-BA41-446899AD1EF6}"/>
    <cellStyle name="Обычный 2 3" xfId="5" xr:uid="{B5963503-E9EB-4524-8762-C0DD8DD6AB37}"/>
    <cellStyle name="Процентный" xfId="1" builtinId="5"/>
    <cellStyle name="Процентный 2 2 2" xfId="8" xr:uid="{CA219B46-C465-4F78-A3E2-FB69437C5F46}"/>
    <cellStyle name="Финансовый 3" xfId="7" xr:uid="{0C883BD6-9E6B-4EEE-8E94-C52C0E4EA635}"/>
  </cellStyles>
  <dxfs count="6">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1087;&#1088;&#1091;&#1076;&#1077;&#1085;&#1094;&#1080;&#1072;&#1083;&#1100;&#1085;&#1072;&#1103;%20&#1086;&#1090;&#1095;&#1077;&#1090;&#1085;&#1086;&#1089;&#1090;&#1100;\06%20&#1080;&#1102;&#1085;&#1100;%202026\072L.xlsx" TargetMode="External"/><Relationship Id="rId1" Type="http://schemas.openxmlformats.org/officeDocument/2006/relationships/externalLinkPath" Target="072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lance"/>
      <sheetName val="Deposits by Client"/>
      <sheetName val="Bank Assets Analysis"/>
      <sheetName val="RSF"/>
      <sheetName val="inflow"/>
      <sheetName val="ЮЛА"/>
      <sheetName val="Liablity"/>
      <sheetName val="ASF"/>
      <sheetName val="outflow"/>
      <sheetName val="Liquidity Rati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3">
          <cell r="B3" t="str">
            <v>TAYANCH MIKROMOLIYA BANKI</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DW81"/>
  <sheetViews>
    <sheetView tabSelected="1" workbookViewId="0">
      <selection activeCell="D81" sqref="D81"/>
    </sheetView>
  </sheetViews>
  <sheetFormatPr defaultColWidth="8" defaultRowHeight="12.75" x14ac:dyDescent="0.2"/>
  <cols>
    <col min="1" max="1" width="6.140625" style="1" customWidth="1"/>
    <col min="2" max="2" width="75" style="1" customWidth="1"/>
    <col min="3" max="5" width="17.42578125" style="1" customWidth="1"/>
    <col min="6" max="6" width="45.42578125" style="1" customWidth="1"/>
    <col min="7" max="7" width="8" style="1"/>
    <col min="8" max="8" width="13.85546875" style="1" customWidth="1"/>
    <col min="9" max="12" width="8" style="1"/>
    <col min="13" max="14" width="10.140625" style="1" bestFit="1" customWidth="1"/>
    <col min="15" max="16384" width="8" style="1"/>
  </cols>
  <sheetData>
    <row r="1" spans="1:14 16351:16351" ht="15" customHeight="1" x14ac:dyDescent="0.2">
      <c r="E1" s="2" t="s">
        <v>0</v>
      </c>
    </row>
    <row r="2" spans="1:14 16351:16351" ht="15.75" x14ac:dyDescent="0.25">
      <c r="A2" s="167" t="s">
        <v>1</v>
      </c>
      <c r="B2" s="167"/>
      <c r="C2" s="167"/>
      <c r="D2" s="167"/>
      <c r="E2" s="167"/>
    </row>
    <row r="3" spans="1:14 16351:16351" ht="15" customHeight="1" x14ac:dyDescent="0.2">
      <c r="B3" s="3" t="s">
        <v>2</v>
      </c>
      <c r="C3" s="4"/>
      <c r="D3" s="5"/>
      <c r="E3" s="4"/>
    </row>
    <row r="4" spans="1:14 16351:16351" ht="15" customHeight="1" x14ac:dyDescent="0.25">
      <c r="B4" s="6" t="s">
        <v>3</v>
      </c>
      <c r="C4" s="7">
        <v>46168</v>
      </c>
      <c r="D4" s="8"/>
      <c r="E4" s="9" t="s">
        <v>4</v>
      </c>
    </row>
    <row r="5" spans="1:14 16351:16351" ht="43.5" customHeight="1" x14ac:dyDescent="0.2">
      <c r="A5" s="10" t="s">
        <v>5</v>
      </c>
      <c r="B5" s="10" t="s">
        <v>6</v>
      </c>
      <c r="C5" s="10" t="s">
        <v>7</v>
      </c>
      <c r="D5" s="10" t="s">
        <v>8</v>
      </c>
      <c r="E5" s="10" t="s">
        <v>9</v>
      </c>
      <c r="M5" s="263"/>
      <c r="N5" s="263"/>
    </row>
    <row r="6" spans="1:14 16351:16351" ht="15" customHeight="1" x14ac:dyDescent="0.2">
      <c r="A6" s="11">
        <v>1</v>
      </c>
      <c r="B6" s="12" t="s">
        <v>10</v>
      </c>
      <c r="C6" s="13">
        <v>0</v>
      </c>
      <c r="D6" s="13"/>
      <c r="E6" s="14"/>
      <c r="F6" s="15"/>
    </row>
    <row r="7" spans="1:14 16351:16351" ht="15" customHeight="1" x14ac:dyDescent="0.2">
      <c r="A7" s="11">
        <v>2</v>
      </c>
      <c r="B7" s="16" t="s">
        <v>11</v>
      </c>
      <c r="C7" s="17">
        <v>7808282</v>
      </c>
      <c r="D7" s="17">
        <v>7808282</v>
      </c>
      <c r="E7" s="14"/>
      <c r="F7" s="15"/>
    </row>
    <row r="8" spans="1:14 16351:16351" ht="15" customHeight="1" x14ac:dyDescent="0.2">
      <c r="A8" s="11">
        <v>3</v>
      </c>
      <c r="B8" s="16" t="s">
        <v>12</v>
      </c>
      <c r="C8" s="13">
        <v>0</v>
      </c>
      <c r="D8" s="13">
        <v>0</v>
      </c>
      <c r="E8" s="13">
        <v>0</v>
      </c>
      <c r="F8" s="15"/>
    </row>
    <row r="9" spans="1:14 16351:16351" ht="15" customHeight="1" x14ac:dyDescent="0.2">
      <c r="A9" s="18" t="s">
        <v>13</v>
      </c>
      <c r="B9" s="19" t="s">
        <v>14</v>
      </c>
      <c r="C9" s="13">
        <v>0</v>
      </c>
      <c r="D9" s="14"/>
      <c r="E9" s="14"/>
      <c r="F9" s="15"/>
    </row>
    <row r="10" spans="1:14 16351:16351" ht="15" customHeight="1" x14ac:dyDescent="0.2">
      <c r="A10" s="18" t="s">
        <v>15</v>
      </c>
      <c r="B10" s="19" t="s">
        <v>16</v>
      </c>
      <c r="C10" s="13">
        <v>0</v>
      </c>
      <c r="D10" s="14">
        <v>0</v>
      </c>
      <c r="E10" s="14"/>
      <c r="F10" s="15"/>
      <c r="XDW10" s="14"/>
    </row>
    <row r="11" spans="1:14 16351:16351" ht="15" customHeight="1" x14ac:dyDescent="0.2">
      <c r="A11" s="11">
        <v>4</v>
      </c>
      <c r="B11" s="16" t="s">
        <v>17</v>
      </c>
      <c r="C11" s="13">
        <v>0</v>
      </c>
      <c r="D11" s="13">
        <v>0</v>
      </c>
      <c r="E11" s="13">
        <v>0</v>
      </c>
      <c r="F11" s="15"/>
    </row>
    <row r="12" spans="1:14 16351:16351" ht="15" customHeight="1" x14ac:dyDescent="0.2">
      <c r="A12" s="18" t="s">
        <v>18</v>
      </c>
      <c r="B12" s="19" t="s">
        <v>19</v>
      </c>
      <c r="C12" s="13">
        <v>0</v>
      </c>
      <c r="D12" s="14"/>
      <c r="E12" s="14"/>
      <c r="F12" s="15"/>
    </row>
    <row r="13" spans="1:14 16351:16351" ht="15" customHeight="1" x14ac:dyDescent="0.2">
      <c r="A13" s="18" t="s">
        <v>20</v>
      </c>
      <c r="B13" s="19" t="s">
        <v>21</v>
      </c>
      <c r="C13" s="13">
        <v>0</v>
      </c>
      <c r="D13" s="14"/>
      <c r="E13" s="14"/>
      <c r="F13" s="15"/>
    </row>
    <row r="14" spans="1:14 16351:16351" ht="15" customHeight="1" x14ac:dyDescent="0.2">
      <c r="A14" s="18" t="s">
        <v>22</v>
      </c>
      <c r="B14" s="19" t="s">
        <v>23</v>
      </c>
      <c r="C14" s="13">
        <v>0</v>
      </c>
      <c r="D14" s="14"/>
      <c r="E14" s="14"/>
      <c r="F14" s="15"/>
    </row>
    <row r="15" spans="1:14 16351:16351" ht="15" customHeight="1" x14ac:dyDescent="0.2">
      <c r="A15" s="11">
        <v>5</v>
      </c>
      <c r="B15" s="16" t="s">
        <v>24</v>
      </c>
      <c r="C15" s="13">
        <v>0</v>
      </c>
      <c r="D15" s="13">
        <v>0</v>
      </c>
      <c r="E15" s="13">
        <v>0</v>
      </c>
      <c r="F15" s="15"/>
    </row>
    <row r="16" spans="1:14 16351:16351" ht="15" customHeight="1" x14ac:dyDescent="0.2">
      <c r="A16" s="18" t="s">
        <v>25</v>
      </c>
      <c r="B16" s="19" t="s">
        <v>26</v>
      </c>
      <c r="C16" s="13">
        <v>0</v>
      </c>
      <c r="D16" s="14"/>
      <c r="E16" s="14"/>
      <c r="F16" s="15"/>
    </row>
    <row r="17" spans="1:6" ht="15" customHeight="1" x14ac:dyDescent="0.2">
      <c r="A17" s="18" t="s">
        <v>27</v>
      </c>
      <c r="B17" s="19" t="s">
        <v>23</v>
      </c>
      <c r="C17" s="13">
        <v>0</v>
      </c>
      <c r="D17" s="14"/>
      <c r="E17" s="14"/>
      <c r="F17" s="15"/>
    </row>
    <row r="18" spans="1:6" ht="15" customHeight="1" x14ac:dyDescent="0.2">
      <c r="A18" s="18">
        <v>6</v>
      </c>
      <c r="B18" s="16" t="s">
        <v>28</v>
      </c>
      <c r="C18" s="13">
        <v>0</v>
      </c>
      <c r="D18" s="13">
        <v>0</v>
      </c>
      <c r="E18" s="13">
        <v>0</v>
      </c>
      <c r="F18" s="15"/>
    </row>
    <row r="19" spans="1:6" ht="15" customHeight="1" x14ac:dyDescent="0.2">
      <c r="A19" s="18" t="s">
        <v>29</v>
      </c>
      <c r="B19" s="19" t="s">
        <v>30</v>
      </c>
      <c r="C19" s="13">
        <v>0</v>
      </c>
      <c r="D19" s="14"/>
      <c r="E19" s="14"/>
      <c r="F19" s="15"/>
    </row>
    <row r="20" spans="1:6" ht="15" customHeight="1" x14ac:dyDescent="0.2">
      <c r="A20" s="20" t="s">
        <v>31</v>
      </c>
      <c r="B20" s="19" t="s">
        <v>16</v>
      </c>
      <c r="C20" s="13">
        <v>0</v>
      </c>
      <c r="D20" s="14"/>
      <c r="E20" s="14"/>
      <c r="F20" s="15"/>
    </row>
    <row r="21" spans="1:6" ht="15" customHeight="1" x14ac:dyDescent="0.2">
      <c r="A21" s="11">
        <v>7</v>
      </c>
      <c r="B21" s="16" t="s">
        <v>32</v>
      </c>
      <c r="C21" s="13">
        <v>0</v>
      </c>
      <c r="D21" s="13">
        <v>0</v>
      </c>
      <c r="E21" s="13">
        <v>0</v>
      </c>
      <c r="F21" s="15"/>
    </row>
    <row r="22" spans="1:6" ht="15" customHeight="1" x14ac:dyDescent="0.2">
      <c r="A22" s="18" t="s">
        <v>33</v>
      </c>
      <c r="B22" s="19" t="s">
        <v>34</v>
      </c>
      <c r="C22" s="13">
        <v>0</v>
      </c>
      <c r="D22" s="14"/>
      <c r="E22" s="14"/>
      <c r="F22" s="15"/>
    </row>
    <row r="23" spans="1:6" ht="15" customHeight="1" x14ac:dyDescent="0.2">
      <c r="A23" s="18" t="s">
        <v>35</v>
      </c>
      <c r="B23" s="19" t="s">
        <v>23</v>
      </c>
      <c r="C23" s="13">
        <v>0</v>
      </c>
      <c r="D23" s="14"/>
      <c r="E23" s="14"/>
      <c r="F23" s="15"/>
    </row>
    <row r="24" spans="1:6" ht="15" customHeight="1" x14ac:dyDescent="0.2">
      <c r="A24" s="11">
        <v>8</v>
      </c>
      <c r="B24" s="16" t="s">
        <v>36</v>
      </c>
      <c r="C24" s="13">
        <v>58755137</v>
      </c>
      <c r="D24" s="13">
        <v>58755137</v>
      </c>
      <c r="E24" s="13">
        <v>0</v>
      </c>
      <c r="F24" s="15"/>
    </row>
    <row r="25" spans="1:6" x14ac:dyDescent="0.2">
      <c r="A25" s="18" t="s">
        <v>37</v>
      </c>
      <c r="B25" s="19" t="s">
        <v>38</v>
      </c>
      <c r="C25" s="13">
        <v>58804683</v>
      </c>
      <c r="D25" s="14">
        <v>58804683</v>
      </c>
      <c r="E25" s="14"/>
      <c r="F25" s="15"/>
    </row>
    <row r="26" spans="1:6" ht="15" customHeight="1" x14ac:dyDescent="0.2">
      <c r="A26" s="18" t="s">
        <v>39</v>
      </c>
      <c r="B26" s="19" t="s">
        <v>16</v>
      </c>
      <c r="C26" s="13">
        <v>49546</v>
      </c>
      <c r="D26" s="14">
        <v>49546</v>
      </c>
      <c r="E26" s="14"/>
      <c r="F26" s="15"/>
    </row>
    <row r="27" spans="1:6" ht="15" customHeight="1" x14ac:dyDescent="0.2">
      <c r="A27" s="11">
        <v>9</v>
      </c>
      <c r="B27" s="16" t="s">
        <v>40</v>
      </c>
      <c r="C27" s="13">
        <v>0</v>
      </c>
      <c r="D27" s="13">
        <v>0</v>
      </c>
      <c r="E27" s="13">
        <v>0</v>
      </c>
      <c r="F27" s="15"/>
    </row>
    <row r="28" spans="1:6" ht="15" customHeight="1" x14ac:dyDescent="0.2">
      <c r="A28" s="18" t="s">
        <v>41</v>
      </c>
      <c r="B28" s="19" t="s">
        <v>42</v>
      </c>
      <c r="C28" s="13">
        <v>0</v>
      </c>
      <c r="D28" s="14"/>
      <c r="E28" s="14"/>
      <c r="F28" s="15"/>
    </row>
    <row r="29" spans="1:6" ht="15" customHeight="1" x14ac:dyDescent="0.2">
      <c r="A29" s="18" t="s">
        <v>43</v>
      </c>
      <c r="B29" s="19" t="s">
        <v>16</v>
      </c>
      <c r="C29" s="13">
        <v>0</v>
      </c>
      <c r="D29" s="14"/>
      <c r="E29" s="14"/>
      <c r="F29" s="15"/>
    </row>
    <row r="30" spans="1:6" ht="15" customHeight="1" x14ac:dyDescent="0.2">
      <c r="A30" s="11">
        <v>10</v>
      </c>
      <c r="B30" s="16" t="s">
        <v>44</v>
      </c>
      <c r="C30" s="13">
        <v>23054030</v>
      </c>
      <c r="D30" s="14">
        <v>23054030</v>
      </c>
      <c r="E30" s="14"/>
      <c r="F30" s="15"/>
    </row>
    <row r="31" spans="1:6" ht="15" customHeight="1" x14ac:dyDescent="0.2">
      <c r="A31" s="11">
        <v>11</v>
      </c>
      <c r="B31" s="16" t="s">
        <v>45</v>
      </c>
      <c r="C31" s="13">
        <v>4124584</v>
      </c>
      <c r="D31" s="13">
        <v>4124584</v>
      </c>
      <c r="E31" s="13">
        <v>0</v>
      </c>
      <c r="F31" s="15"/>
    </row>
    <row r="32" spans="1:6" ht="15" customHeight="1" x14ac:dyDescent="0.2">
      <c r="A32" s="18" t="s">
        <v>46</v>
      </c>
      <c r="B32" s="19" t="s">
        <v>47</v>
      </c>
      <c r="C32" s="13">
        <v>3953903</v>
      </c>
      <c r="D32" s="14">
        <v>3953903</v>
      </c>
      <c r="E32" s="14"/>
      <c r="F32" s="15"/>
    </row>
    <row r="33" spans="1:6" ht="15" customHeight="1" x14ac:dyDescent="0.2">
      <c r="A33" s="18" t="s">
        <v>48</v>
      </c>
      <c r="B33" s="19" t="s">
        <v>49</v>
      </c>
      <c r="C33" s="13">
        <v>170681</v>
      </c>
      <c r="D33" s="14">
        <v>170681</v>
      </c>
      <c r="E33" s="14"/>
      <c r="F33" s="15"/>
    </row>
    <row r="34" spans="1:6" ht="15" customHeight="1" x14ac:dyDescent="0.2">
      <c r="A34" s="18" t="s">
        <v>50</v>
      </c>
      <c r="B34" s="19" t="s">
        <v>16</v>
      </c>
      <c r="C34" s="13">
        <v>0</v>
      </c>
      <c r="D34" s="14"/>
      <c r="E34" s="14"/>
      <c r="F34" s="15"/>
    </row>
    <row r="35" spans="1:6" ht="15" customHeight="1" x14ac:dyDescent="0.2">
      <c r="A35" s="11">
        <v>12</v>
      </c>
      <c r="B35" s="16" t="s">
        <v>51</v>
      </c>
      <c r="C35" s="13">
        <v>135000</v>
      </c>
      <c r="D35" s="13">
        <v>135000</v>
      </c>
      <c r="E35" s="13">
        <v>0</v>
      </c>
      <c r="F35" s="15"/>
    </row>
    <row r="36" spans="1:6" ht="15" customHeight="1" x14ac:dyDescent="0.2">
      <c r="A36" s="18" t="s">
        <v>52</v>
      </c>
      <c r="B36" s="19" t="s">
        <v>53</v>
      </c>
      <c r="C36" s="13">
        <v>0</v>
      </c>
      <c r="D36" s="14"/>
      <c r="E36" s="14"/>
      <c r="F36" s="15"/>
    </row>
    <row r="37" spans="1:6" ht="15" customHeight="1" x14ac:dyDescent="0.2">
      <c r="A37" s="18" t="s">
        <v>54</v>
      </c>
      <c r="B37" s="19" t="s">
        <v>55</v>
      </c>
      <c r="C37" s="13">
        <v>135000</v>
      </c>
      <c r="D37" s="14">
        <v>135000</v>
      </c>
      <c r="E37" s="14"/>
      <c r="F37" s="15"/>
    </row>
    <row r="38" spans="1:6" ht="15" customHeight="1" x14ac:dyDescent="0.2">
      <c r="A38" s="18" t="s">
        <v>56</v>
      </c>
      <c r="B38" s="19" t="s">
        <v>57</v>
      </c>
      <c r="C38" s="13">
        <v>0</v>
      </c>
      <c r="D38" s="14"/>
      <c r="E38" s="14"/>
      <c r="F38" s="15"/>
    </row>
    <row r="39" spans="1:6" ht="16.5" customHeight="1" x14ac:dyDescent="0.2">
      <c r="A39" s="21">
        <v>13</v>
      </c>
      <c r="B39" s="22" t="s">
        <v>58</v>
      </c>
      <c r="C39" s="23">
        <v>0</v>
      </c>
      <c r="D39" s="23">
        <v>0</v>
      </c>
      <c r="E39" s="23">
        <v>0</v>
      </c>
    </row>
    <row r="40" spans="1:6" ht="16.5" customHeight="1" x14ac:dyDescent="0.2">
      <c r="A40" s="21" t="s">
        <v>59</v>
      </c>
      <c r="B40" s="24" t="s">
        <v>60</v>
      </c>
      <c r="C40" s="23">
        <v>0</v>
      </c>
      <c r="D40" s="25"/>
      <c r="E40" s="25"/>
      <c r="F40" s="15"/>
    </row>
    <row r="41" spans="1:6" ht="16.5" customHeight="1" x14ac:dyDescent="0.2">
      <c r="A41" s="21" t="s">
        <v>61</v>
      </c>
      <c r="B41" s="24" t="s">
        <v>62</v>
      </c>
      <c r="C41" s="23">
        <v>0</v>
      </c>
      <c r="D41" s="25"/>
      <c r="E41" s="25"/>
      <c r="F41" s="15"/>
    </row>
    <row r="42" spans="1:6" ht="16.5" customHeight="1" x14ac:dyDescent="0.2">
      <c r="A42" s="21" t="s">
        <v>63</v>
      </c>
      <c r="B42" s="24" t="s">
        <v>64</v>
      </c>
      <c r="C42" s="23">
        <v>0</v>
      </c>
      <c r="D42" s="25"/>
      <c r="E42" s="25"/>
      <c r="F42" s="15"/>
    </row>
    <row r="43" spans="1:6" ht="15" customHeight="1" x14ac:dyDescent="0.2">
      <c r="A43" s="11">
        <v>14</v>
      </c>
      <c r="B43" s="16" t="s">
        <v>65</v>
      </c>
      <c r="C43" s="13">
        <v>13977028</v>
      </c>
      <c r="D43" s="13">
        <v>13977028</v>
      </c>
      <c r="E43" s="13">
        <v>0</v>
      </c>
      <c r="F43" s="15"/>
    </row>
    <row r="44" spans="1:6" ht="15" customHeight="1" x14ac:dyDescent="0.2">
      <c r="A44" s="18" t="s">
        <v>66</v>
      </c>
      <c r="B44" s="19" t="s">
        <v>67</v>
      </c>
      <c r="C44" s="13">
        <v>13977028</v>
      </c>
      <c r="D44" s="14">
        <v>13977028</v>
      </c>
      <c r="E44" s="14"/>
      <c r="F44" s="15"/>
    </row>
    <row r="45" spans="1:6" ht="15" customHeight="1" x14ac:dyDescent="0.2">
      <c r="A45" s="18" t="s">
        <v>68</v>
      </c>
      <c r="B45" s="19" t="s">
        <v>16</v>
      </c>
      <c r="C45" s="13">
        <v>0</v>
      </c>
      <c r="D45" s="14"/>
      <c r="E45" s="14"/>
      <c r="F45" s="15"/>
    </row>
    <row r="46" spans="1:6" ht="15" customHeight="1" x14ac:dyDescent="0.2">
      <c r="A46" s="18" t="s">
        <v>69</v>
      </c>
      <c r="B46" s="19" t="s">
        <v>70</v>
      </c>
      <c r="C46" s="13">
        <v>0</v>
      </c>
      <c r="D46" s="14"/>
      <c r="E46" s="14"/>
      <c r="F46" s="15"/>
    </row>
    <row r="47" spans="1:6" ht="15" customHeight="1" x14ac:dyDescent="0.2">
      <c r="A47" s="26" t="s">
        <v>71</v>
      </c>
      <c r="B47" s="27" t="s">
        <v>72</v>
      </c>
      <c r="C47" s="28">
        <v>107854061</v>
      </c>
      <c r="D47" s="28">
        <v>107854061</v>
      </c>
      <c r="E47" s="28">
        <v>0</v>
      </c>
    </row>
    <row r="48" spans="1:6" ht="6.75" customHeight="1" x14ac:dyDescent="0.2">
      <c r="A48" s="18"/>
      <c r="B48" s="29"/>
      <c r="C48" s="13"/>
      <c r="D48" s="13"/>
      <c r="E48" s="13"/>
    </row>
    <row r="49" spans="1:6" ht="2.25" hidden="1" customHeight="1" x14ac:dyDescent="0.2">
      <c r="A49" s="18"/>
      <c r="B49" s="30"/>
      <c r="C49" s="13"/>
      <c r="D49" s="13"/>
      <c r="E49" s="13"/>
    </row>
    <row r="50" spans="1:6" ht="6.75" hidden="1" customHeight="1" x14ac:dyDescent="0.2">
      <c r="A50" s="18"/>
      <c r="B50" s="30"/>
      <c r="C50" s="13"/>
      <c r="D50" s="13"/>
      <c r="E50" s="13"/>
    </row>
    <row r="51" spans="1:6" ht="19.5" customHeight="1" x14ac:dyDescent="0.2">
      <c r="A51" s="18"/>
      <c r="B51" s="31" t="s">
        <v>73</v>
      </c>
      <c r="C51" s="13"/>
      <c r="D51" s="13"/>
      <c r="E51" s="13"/>
    </row>
    <row r="52" spans="1:6" ht="6" customHeight="1" x14ac:dyDescent="0.2">
      <c r="A52" s="18"/>
      <c r="B52" s="31"/>
      <c r="C52" s="13"/>
      <c r="D52" s="13"/>
      <c r="E52" s="13"/>
    </row>
    <row r="53" spans="1:6" ht="16.5" customHeight="1" x14ac:dyDescent="0.2">
      <c r="A53" s="18" t="s">
        <v>74</v>
      </c>
      <c r="B53" s="16" t="s">
        <v>75</v>
      </c>
      <c r="C53" s="13">
        <v>5438679</v>
      </c>
      <c r="D53" s="14">
        <v>5438679</v>
      </c>
      <c r="E53" s="14"/>
      <c r="F53" s="15"/>
    </row>
    <row r="54" spans="1:6" ht="16.5" customHeight="1" x14ac:dyDescent="0.2">
      <c r="A54" s="18" t="s">
        <v>76</v>
      </c>
      <c r="B54" s="16" t="s">
        <v>77</v>
      </c>
      <c r="C54" s="13">
        <v>53100000</v>
      </c>
      <c r="D54" s="14">
        <v>53100000</v>
      </c>
      <c r="E54" s="14"/>
      <c r="F54" s="15"/>
    </row>
    <row r="55" spans="1:6" ht="16.5" customHeight="1" x14ac:dyDescent="0.2">
      <c r="A55" s="18" t="s">
        <v>78</v>
      </c>
      <c r="B55" s="16" t="s">
        <v>79</v>
      </c>
      <c r="C55" s="13">
        <v>810</v>
      </c>
      <c r="D55" s="14">
        <v>810</v>
      </c>
      <c r="E55" s="14"/>
      <c r="F55" s="15"/>
    </row>
    <row r="56" spans="1:6" ht="16.5" customHeight="1" x14ac:dyDescent="0.2">
      <c r="A56" s="18" t="s">
        <v>80</v>
      </c>
      <c r="B56" s="12" t="s">
        <v>81</v>
      </c>
      <c r="C56" s="13">
        <v>2000000</v>
      </c>
      <c r="D56" s="14">
        <v>2000000</v>
      </c>
      <c r="E56" s="14"/>
      <c r="F56" s="15"/>
    </row>
    <row r="57" spans="1:6" ht="16.5" customHeight="1" x14ac:dyDescent="0.2">
      <c r="A57" s="18" t="s">
        <v>82</v>
      </c>
      <c r="B57" s="12" t="s">
        <v>83</v>
      </c>
      <c r="C57" s="13">
        <v>0</v>
      </c>
      <c r="D57" s="14"/>
      <c r="E57" s="14"/>
      <c r="F57" s="15"/>
    </row>
    <row r="58" spans="1:6" ht="16.5" customHeight="1" x14ac:dyDescent="0.2">
      <c r="A58" s="18" t="s">
        <v>84</v>
      </c>
      <c r="B58" s="16" t="s">
        <v>85</v>
      </c>
      <c r="C58" s="13">
        <v>0</v>
      </c>
      <c r="D58" s="14"/>
      <c r="E58" s="14"/>
      <c r="F58" s="15"/>
    </row>
    <row r="59" spans="1:6" ht="16.5" customHeight="1" x14ac:dyDescent="0.2">
      <c r="A59" s="18" t="s">
        <v>86</v>
      </c>
      <c r="B59" s="16" t="s">
        <v>87</v>
      </c>
      <c r="C59" s="13">
        <v>0</v>
      </c>
      <c r="D59" s="14"/>
      <c r="E59" s="14"/>
      <c r="F59" s="15"/>
    </row>
    <row r="60" spans="1:6" ht="16.5" customHeight="1" x14ac:dyDescent="0.2">
      <c r="A60" s="18" t="s">
        <v>88</v>
      </c>
      <c r="B60" s="32" t="s">
        <v>89</v>
      </c>
      <c r="C60" s="13">
        <v>0</v>
      </c>
      <c r="D60" s="14"/>
      <c r="E60" s="14"/>
      <c r="F60" s="15"/>
    </row>
    <row r="61" spans="1:6" ht="16.5" customHeight="1" x14ac:dyDescent="0.2">
      <c r="A61" s="18" t="s">
        <v>90</v>
      </c>
      <c r="B61" s="16" t="s">
        <v>91</v>
      </c>
      <c r="C61" s="13">
        <v>199605</v>
      </c>
      <c r="D61" s="14">
        <v>199605</v>
      </c>
      <c r="E61" s="14"/>
      <c r="F61" s="15"/>
    </row>
    <row r="62" spans="1:6" ht="16.5" customHeight="1" x14ac:dyDescent="0.2">
      <c r="A62" s="18" t="s">
        <v>92</v>
      </c>
      <c r="B62" s="16" t="s">
        <v>93</v>
      </c>
      <c r="C62" s="13">
        <v>13792</v>
      </c>
      <c r="D62" s="14">
        <v>13792</v>
      </c>
      <c r="E62" s="14"/>
      <c r="F62" s="15"/>
    </row>
    <row r="63" spans="1:6" ht="16.5" customHeight="1" x14ac:dyDescent="0.2">
      <c r="A63" s="18" t="s">
        <v>94</v>
      </c>
      <c r="B63" s="16" t="s">
        <v>95</v>
      </c>
      <c r="C63" s="13">
        <v>0</v>
      </c>
      <c r="D63" s="14"/>
      <c r="E63" s="14"/>
      <c r="F63" s="15"/>
    </row>
    <row r="64" spans="1:6" ht="16.5" customHeight="1" x14ac:dyDescent="0.2">
      <c r="A64" s="33" t="s">
        <v>96</v>
      </c>
      <c r="B64" s="34" t="s">
        <v>97</v>
      </c>
      <c r="C64" s="13"/>
      <c r="D64" s="14"/>
      <c r="E64" s="14"/>
      <c r="F64" s="15"/>
    </row>
    <row r="65" spans="1:7" ht="16.5" customHeight="1" x14ac:dyDescent="0.2">
      <c r="A65" s="18" t="s">
        <v>98</v>
      </c>
      <c r="B65" s="16" t="s">
        <v>99</v>
      </c>
      <c r="C65" s="13">
        <v>758986</v>
      </c>
      <c r="D65" s="14">
        <v>758986</v>
      </c>
      <c r="E65" s="14"/>
      <c r="F65" s="15"/>
    </row>
    <row r="66" spans="1:7" ht="16.5" customHeight="1" x14ac:dyDescent="0.2">
      <c r="A66" s="18" t="s">
        <v>100</v>
      </c>
      <c r="B66" s="27" t="s">
        <v>101</v>
      </c>
      <c r="C66" s="35">
        <v>61511872</v>
      </c>
      <c r="D66" s="35">
        <v>61511872</v>
      </c>
      <c r="E66" s="35">
        <v>0</v>
      </c>
    </row>
    <row r="67" spans="1:7" ht="6.75" customHeight="1" x14ac:dyDescent="0.2">
      <c r="A67" s="18"/>
      <c r="B67" s="29"/>
      <c r="C67" s="13"/>
      <c r="D67" s="13"/>
      <c r="E67" s="13"/>
    </row>
    <row r="68" spans="1:7" ht="19.5" customHeight="1" x14ac:dyDescent="0.2">
      <c r="A68" s="18"/>
      <c r="B68" s="31" t="s">
        <v>102</v>
      </c>
      <c r="C68" s="13"/>
      <c r="D68" s="14"/>
      <c r="E68" s="14"/>
    </row>
    <row r="69" spans="1:7" ht="6.75" customHeight="1" x14ac:dyDescent="0.2">
      <c r="A69" s="18"/>
      <c r="B69" s="29"/>
      <c r="C69" s="13"/>
      <c r="D69" s="13"/>
      <c r="E69" s="13"/>
    </row>
    <row r="70" spans="1:7" ht="15" customHeight="1" x14ac:dyDescent="0.2">
      <c r="A70" s="36" t="s">
        <v>103</v>
      </c>
      <c r="B70" s="16" t="s">
        <v>104</v>
      </c>
      <c r="C70" s="13">
        <v>53900000</v>
      </c>
      <c r="D70" s="13">
        <v>53900000</v>
      </c>
      <c r="E70" s="13">
        <v>0</v>
      </c>
    </row>
    <row r="71" spans="1:7" ht="15" customHeight="1" x14ac:dyDescent="0.2">
      <c r="A71" s="20" t="s">
        <v>105</v>
      </c>
      <c r="B71" s="19" t="s">
        <v>106</v>
      </c>
      <c r="C71" s="13">
        <v>53900000</v>
      </c>
      <c r="D71" s="14">
        <v>53900000</v>
      </c>
      <c r="E71" s="14"/>
      <c r="F71" s="15"/>
    </row>
    <row r="72" spans="1:7" ht="15" customHeight="1" x14ac:dyDescent="0.2">
      <c r="A72" s="18" t="s">
        <v>107</v>
      </c>
      <c r="B72" s="19" t="s">
        <v>108</v>
      </c>
      <c r="C72" s="13">
        <v>0</v>
      </c>
      <c r="D72" s="14"/>
      <c r="E72" s="14"/>
      <c r="F72" s="15"/>
    </row>
    <row r="73" spans="1:7" ht="15" customHeight="1" x14ac:dyDescent="0.25">
      <c r="A73" s="18" t="s">
        <v>109</v>
      </c>
      <c r="B73" s="37" t="s">
        <v>110</v>
      </c>
      <c r="C73" s="13">
        <v>0</v>
      </c>
      <c r="D73" s="14">
        <v>0</v>
      </c>
      <c r="E73" s="14">
        <v>0</v>
      </c>
      <c r="F73" s="15"/>
      <c r="G73" s="38"/>
    </row>
    <row r="74" spans="1:7" ht="15" customHeight="1" x14ac:dyDescent="0.2">
      <c r="A74" s="18" t="s">
        <v>111</v>
      </c>
      <c r="B74" s="37" t="s">
        <v>112</v>
      </c>
      <c r="C74" s="13">
        <v>0</v>
      </c>
      <c r="D74" s="13">
        <v>0</v>
      </c>
      <c r="E74" s="13">
        <v>0</v>
      </c>
      <c r="F74" s="15"/>
    </row>
    <row r="75" spans="1:7" ht="15" customHeight="1" x14ac:dyDescent="0.2">
      <c r="A75" s="18" t="s">
        <v>113</v>
      </c>
      <c r="B75" s="39" t="s">
        <v>114</v>
      </c>
      <c r="C75" s="13">
        <v>0</v>
      </c>
      <c r="D75" s="14"/>
      <c r="E75" s="14"/>
      <c r="F75" s="15"/>
    </row>
    <row r="76" spans="1:7" ht="15" customHeight="1" x14ac:dyDescent="0.2">
      <c r="A76" s="18" t="s">
        <v>115</v>
      </c>
      <c r="B76" s="39" t="s">
        <v>116</v>
      </c>
      <c r="C76" s="13">
        <v>0</v>
      </c>
      <c r="D76" s="14"/>
      <c r="E76" s="14"/>
      <c r="F76" s="15"/>
    </row>
    <row r="77" spans="1:7" ht="15" customHeight="1" x14ac:dyDescent="0.2">
      <c r="A77" s="18" t="s">
        <v>117</v>
      </c>
      <c r="B77" s="39" t="s">
        <v>118</v>
      </c>
      <c r="C77" s="13">
        <v>0</v>
      </c>
      <c r="D77" s="14"/>
      <c r="E77" s="14"/>
      <c r="F77" s="15"/>
    </row>
    <row r="78" spans="1:7" ht="15" customHeight="1" x14ac:dyDescent="0.2">
      <c r="A78" s="18" t="s">
        <v>119</v>
      </c>
      <c r="B78" s="37" t="s">
        <v>120</v>
      </c>
      <c r="C78" s="13">
        <v>-7557811</v>
      </c>
      <c r="D78" s="14">
        <v>-7557811</v>
      </c>
      <c r="E78" s="14"/>
      <c r="F78" s="15"/>
    </row>
    <row r="79" spans="1:7" ht="15" customHeight="1" x14ac:dyDescent="0.2">
      <c r="A79" s="18" t="s">
        <v>121</v>
      </c>
      <c r="B79" s="39" t="s">
        <v>122</v>
      </c>
      <c r="C79" s="13">
        <v>-7854648</v>
      </c>
      <c r="D79" s="14">
        <v>-7854648</v>
      </c>
      <c r="E79" s="14"/>
      <c r="F79" s="15"/>
    </row>
    <row r="80" spans="1:7" ht="15" customHeight="1" x14ac:dyDescent="0.2">
      <c r="A80" s="40" t="s">
        <v>123</v>
      </c>
      <c r="B80" s="27" t="s">
        <v>124</v>
      </c>
      <c r="C80" s="35">
        <v>46342189</v>
      </c>
      <c r="D80" s="35">
        <v>46342189</v>
      </c>
      <c r="E80" s="35">
        <v>0</v>
      </c>
    </row>
    <row r="81" spans="1:5" ht="15" customHeight="1" x14ac:dyDescent="0.2">
      <c r="A81" s="40" t="s">
        <v>125</v>
      </c>
      <c r="B81" s="41" t="s">
        <v>126</v>
      </c>
      <c r="C81" s="28">
        <v>107854061</v>
      </c>
      <c r="D81" s="28">
        <v>107854061</v>
      </c>
      <c r="E81" s="28">
        <v>0</v>
      </c>
    </row>
  </sheetData>
  <mergeCells count="1">
    <mergeCell ref="A2:E2"/>
  </mergeCells>
  <dataValidations count="7">
    <dataValidation allowBlank="1" showInputMessage="1" showErrorMessage="1" prompt="Значение должно равняться Итого капитала из таблицы &quot;Изменения в акционерном капитале&quot;" sqref="C80:E80" xr:uid="{A2089545-10D6-49EC-B012-5B44756D02A7}"/>
    <dataValidation type="whole" operator="notEqual" allowBlank="1" showErrorMessage="1" error="Что, не получается?_x000a__x000a_Выше нос друзья!_x000a__x000a_Введите целое число." sqref="D61:E61 D62:D65 D58:D60 D75:D79" xr:uid="{70007D3F-7E27-495A-A1AF-ADB30E7F7E9C}">
      <formula1>-1E+21</formula1>
    </dataValidation>
    <dataValidation allowBlank="1" showInputMessage="1" showErrorMessage="1" prompt="Ячейка окрасится, если значение не равно итого обязательств (таблица &quot;Анализ обязательств банка&quot;)  " sqref="D66:E66" xr:uid="{EA4F064E-EA0C-402E-9B8E-FF3610933D72}"/>
    <dataValidation allowBlank="1" showInputMessage="1" showErrorMessage="1" prompt="Значение должно равняться Итого активов (Ячейка С36)" sqref="D81:E81" xr:uid="{60AE0077-EB20-4FD6-844F-793F8B742E4A}"/>
    <dataValidation allowBlank="1" showInputMessage="1" showErrorMessage="1" prompt="Если значение ячейки не равно &quot;В24 - В25&quot;, ячейка окрасится" sqref="D46 D36:D42" xr:uid="{B0704F5F-5483-4D4E-A068-C22AA2520EF2}"/>
    <dataValidation type="date" operator="greaterThan" allowBlank="1" showInputMessage="1" showErrorMessage="1" prompt="Введите дату в формате ЧЧ.ММ.ГГГГ" sqref="C4" xr:uid="{D33E95C5-2C91-47A1-B914-0B3D4FC9718D}">
      <formula1>DATE(96,1,1)</formula1>
    </dataValidation>
    <dataValidation allowBlank="1" showInputMessage="1" showErrorMessage="1" prompt="Если значение ячейки не равно &quot;В15 - В16&quot;, ячейка окрасится" sqref="D19:E19" xr:uid="{ADF33299-5777-4271-91E6-2932569A16D4}"/>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518FA-743D-4A27-868F-3A8213369B15}">
  <dimension ref="A1:F89"/>
  <sheetViews>
    <sheetView topLeftCell="B48" workbookViewId="0">
      <selection activeCell="C59" sqref="C59"/>
    </sheetView>
  </sheetViews>
  <sheetFormatPr defaultColWidth="8" defaultRowHeight="12.75" x14ac:dyDescent="0.2"/>
  <cols>
    <col min="1" max="1" width="18.7109375" style="42" bestFit="1" customWidth="1"/>
    <col min="2" max="2" width="83" style="43" customWidth="1"/>
    <col min="3" max="3" width="25.42578125" style="43" customWidth="1"/>
    <col min="4" max="4" width="8" style="45"/>
    <col min="5" max="16384" width="8" style="43"/>
  </cols>
  <sheetData>
    <row r="1" spans="1:6" ht="15" customHeight="1" x14ac:dyDescent="0.2">
      <c r="C1" s="44" t="s">
        <v>127</v>
      </c>
    </row>
    <row r="2" spans="1:6" ht="18.75" customHeight="1" x14ac:dyDescent="0.25">
      <c r="A2" s="168" t="s">
        <v>128</v>
      </c>
      <c r="B2" s="168"/>
      <c r="C2" s="168"/>
    </row>
    <row r="3" spans="1:6" ht="15" customHeight="1" x14ac:dyDescent="0.2">
      <c r="A3" s="46">
        <v>46168</v>
      </c>
      <c r="B3" s="47" t="s">
        <v>3</v>
      </c>
      <c r="C3" s="48" t="s">
        <v>129</v>
      </c>
    </row>
    <row r="4" spans="1:6" ht="42" customHeight="1" x14ac:dyDescent="0.2">
      <c r="A4" s="49" t="s">
        <v>5</v>
      </c>
      <c r="B4" s="49" t="s">
        <v>130</v>
      </c>
      <c r="C4" s="49" t="s">
        <v>131</v>
      </c>
    </row>
    <row r="5" spans="1:6" ht="15" customHeight="1" x14ac:dyDescent="0.2">
      <c r="A5" s="50">
        <v>1</v>
      </c>
      <c r="B5" s="51" t="s">
        <v>132</v>
      </c>
      <c r="C5" s="49"/>
    </row>
    <row r="6" spans="1:6" ht="15" customHeight="1" x14ac:dyDescent="0.2">
      <c r="A6" s="163" t="s">
        <v>133</v>
      </c>
      <c r="B6" s="52" t="s">
        <v>134</v>
      </c>
      <c r="C6" s="53">
        <v>0</v>
      </c>
      <c r="D6" s="54"/>
      <c r="F6" s="55"/>
    </row>
    <row r="7" spans="1:6" ht="15" customHeight="1" x14ac:dyDescent="0.2">
      <c r="A7" s="163" t="s">
        <v>135</v>
      </c>
      <c r="B7" s="52" t="s">
        <v>136</v>
      </c>
      <c r="C7" s="53">
        <v>69863</v>
      </c>
      <c r="D7" s="54"/>
      <c r="F7" s="55"/>
    </row>
    <row r="8" spans="1:6" ht="25.5" customHeight="1" x14ac:dyDescent="0.2">
      <c r="A8" s="163" t="s">
        <v>137</v>
      </c>
      <c r="B8" s="56" t="s">
        <v>138</v>
      </c>
      <c r="C8" s="53">
        <v>0</v>
      </c>
      <c r="D8" s="54"/>
      <c r="F8" s="57"/>
    </row>
    <row r="9" spans="1:6" x14ac:dyDescent="0.2">
      <c r="A9" s="163" t="s">
        <v>139</v>
      </c>
      <c r="B9" s="56" t="s">
        <v>140</v>
      </c>
      <c r="C9" s="53">
        <v>0</v>
      </c>
      <c r="D9" s="54"/>
      <c r="F9" s="55"/>
    </row>
    <row r="10" spans="1:6" ht="15" customHeight="1" x14ac:dyDescent="0.2">
      <c r="A10" s="163" t="s">
        <v>141</v>
      </c>
      <c r="B10" s="52" t="s">
        <v>142</v>
      </c>
      <c r="C10" s="53">
        <v>0</v>
      </c>
      <c r="D10" s="54"/>
      <c r="F10" s="57"/>
    </row>
    <row r="11" spans="1:6" ht="16.5" customHeight="1" x14ac:dyDescent="0.2">
      <c r="A11" s="163" t="s">
        <v>143</v>
      </c>
      <c r="B11" s="56" t="s">
        <v>144</v>
      </c>
      <c r="C11" s="53">
        <v>0</v>
      </c>
      <c r="D11" s="54"/>
      <c r="F11" s="57"/>
    </row>
    <row r="12" spans="1:6" ht="15" customHeight="1" x14ac:dyDescent="0.2">
      <c r="A12" s="163" t="s">
        <v>145</v>
      </c>
      <c r="B12" s="58" t="s">
        <v>146</v>
      </c>
      <c r="C12" s="53">
        <v>9086280</v>
      </c>
      <c r="D12" s="54"/>
      <c r="F12" s="55"/>
    </row>
    <row r="13" spans="1:6" ht="14.25" customHeight="1" x14ac:dyDescent="0.2">
      <c r="A13" s="163" t="s">
        <v>147</v>
      </c>
      <c r="B13" s="56" t="s">
        <v>148</v>
      </c>
      <c r="C13" s="53"/>
      <c r="D13" s="54"/>
      <c r="F13" s="55"/>
    </row>
    <row r="14" spans="1:6" ht="15" customHeight="1" x14ac:dyDescent="0.2">
      <c r="A14" s="163" t="s">
        <v>149</v>
      </c>
      <c r="B14" s="56" t="s">
        <v>150</v>
      </c>
      <c r="C14" s="53">
        <v>0</v>
      </c>
      <c r="D14" s="54"/>
      <c r="F14" s="55"/>
    </row>
    <row r="15" spans="1:6" ht="15" customHeight="1" x14ac:dyDescent="0.2">
      <c r="A15" s="59" t="s">
        <v>151</v>
      </c>
      <c r="B15" s="60" t="s">
        <v>152</v>
      </c>
      <c r="C15" s="61">
        <v>9156143</v>
      </c>
      <c r="F15" s="55"/>
    </row>
    <row r="16" spans="1:6" ht="7.5" customHeight="1" x14ac:dyDescent="0.2">
      <c r="A16" s="50"/>
      <c r="B16" s="51"/>
      <c r="C16" s="62"/>
      <c r="F16" s="57"/>
    </row>
    <row r="17" spans="1:6" ht="15" customHeight="1" x14ac:dyDescent="0.2">
      <c r="A17" s="50">
        <v>2</v>
      </c>
      <c r="B17" s="51" t="s">
        <v>153</v>
      </c>
      <c r="C17" s="49"/>
      <c r="F17" s="57"/>
    </row>
    <row r="18" spans="1:6" ht="15" customHeight="1" x14ac:dyDescent="0.2">
      <c r="A18" s="163" t="s">
        <v>133</v>
      </c>
      <c r="B18" s="56" t="s">
        <v>154</v>
      </c>
      <c r="C18" s="53"/>
      <c r="D18" s="54"/>
      <c r="F18" s="55"/>
    </row>
    <row r="19" spans="1:6" ht="15" customHeight="1" x14ac:dyDescent="0.2">
      <c r="A19" s="163" t="s">
        <v>135</v>
      </c>
      <c r="B19" s="52" t="s">
        <v>155</v>
      </c>
      <c r="C19" s="53">
        <v>2083238</v>
      </c>
      <c r="D19" s="54"/>
      <c r="F19" s="55"/>
    </row>
    <row r="20" spans="1:6" ht="15" customHeight="1" x14ac:dyDescent="0.2">
      <c r="A20" s="163" t="s">
        <v>137</v>
      </c>
      <c r="B20" s="56" t="s">
        <v>156</v>
      </c>
      <c r="C20" s="53"/>
      <c r="D20" s="54"/>
      <c r="F20" s="57"/>
    </row>
    <row r="21" spans="1:6" ht="15" customHeight="1" x14ac:dyDescent="0.2">
      <c r="A21" s="163" t="s">
        <v>139</v>
      </c>
      <c r="B21" s="56" t="s">
        <v>157</v>
      </c>
      <c r="C21" s="53"/>
      <c r="D21" s="54"/>
      <c r="F21" s="57"/>
    </row>
    <row r="22" spans="1:6" s="64" customFormat="1" ht="15" customHeight="1" x14ac:dyDescent="0.2">
      <c r="A22" s="50" t="s">
        <v>141</v>
      </c>
      <c r="B22" s="51" t="s">
        <v>158</v>
      </c>
      <c r="C22" s="61">
        <v>2083238</v>
      </c>
      <c r="D22" s="63"/>
      <c r="F22" s="65"/>
    </row>
    <row r="23" spans="1:6" ht="15.75" customHeight="1" x14ac:dyDescent="0.2">
      <c r="A23" s="163" t="s">
        <v>159</v>
      </c>
      <c r="B23" s="52" t="s">
        <v>160</v>
      </c>
      <c r="C23" s="53">
        <v>580460</v>
      </c>
      <c r="D23" s="54"/>
      <c r="F23" s="55"/>
    </row>
    <row r="24" spans="1:6" ht="15.75" customHeight="1" x14ac:dyDescent="0.2">
      <c r="A24" s="66" t="s">
        <v>143</v>
      </c>
      <c r="B24" s="56" t="s">
        <v>161</v>
      </c>
      <c r="C24" s="53"/>
      <c r="D24" s="54"/>
      <c r="F24" s="55"/>
    </row>
    <row r="25" spans="1:6" ht="15.75" customHeight="1" x14ac:dyDescent="0.2">
      <c r="A25" s="66" t="s">
        <v>145</v>
      </c>
      <c r="B25" s="67" t="s">
        <v>162</v>
      </c>
      <c r="C25" s="53"/>
      <c r="D25" s="54"/>
      <c r="F25" s="55"/>
    </row>
    <row r="26" spans="1:6" x14ac:dyDescent="0.2">
      <c r="A26" s="68" t="s">
        <v>147</v>
      </c>
      <c r="B26" s="60" t="s">
        <v>163</v>
      </c>
      <c r="C26" s="61">
        <v>580460</v>
      </c>
      <c r="F26" s="57"/>
    </row>
    <row r="27" spans="1:6" ht="15" customHeight="1" x14ac:dyDescent="0.2">
      <c r="A27" s="68" t="s">
        <v>149</v>
      </c>
      <c r="B27" s="60" t="s">
        <v>164</v>
      </c>
      <c r="C27" s="61">
        <v>2663698</v>
      </c>
      <c r="F27" s="55"/>
    </row>
    <row r="28" spans="1:6" ht="7.5" customHeight="1" x14ac:dyDescent="0.2">
      <c r="A28" s="163"/>
      <c r="B28" s="52"/>
      <c r="C28" s="62"/>
    </row>
    <row r="29" spans="1:6" s="64" customFormat="1" ht="25.5" x14ac:dyDescent="0.2">
      <c r="A29" s="50">
        <v>3</v>
      </c>
      <c r="B29" s="69" t="s">
        <v>165</v>
      </c>
      <c r="C29" s="61">
        <v>6492445</v>
      </c>
      <c r="D29" s="63"/>
    </row>
    <row r="30" spans="1:6" ht="15.75" customHeight="1" x14ac:dyDescent="0.2">
      <c r="A30" s="66" t="s">
        <v>133</v>
      </c>
      <c r="B30" s="67" t="s">
        <v>166</v>
      </c>
      <c r="C30" s="53">
        <v>49546</v>
      </c>
      <c r="D30" s="54"/>
    </row>
    <row r="31" spans="1:6" ht="15.75" customHeight="1" x14ac:dyDescent="0.2">
      <c r="A31" s="66" t="s">
        <v>135</v>
      </c>
      <c r="B31" s="67" t="s">
        <v>167</v>
      </c>
      <c r="C31" s="53"/>
      <c r="D31" s="54"/>
    </row>
    <row r="32" spans="1:6" ht="15.75" customHeight="1" x14ac:dyDescent="0.2">
      <c r="A32" s="66" t="s">
        <v>137</v>
      </c>
      <c r="B32" s="67" t="s">
        <v>168</v>
      </c>
      <c r="C32" s="53"/>
    </row>
    <row r="33" spans="1:4" ht="15.75" customHeight="1" x14ac:dyDescent="0.2">
      <c r="A33" s="66" t="s">
        <v>139</v>
      </c>
      <c r="B33" s="67" t="s">
        <v>169</v>
      </c>
      <c r="C33" s="53"/>
      <c r="D33" s="54"/>
    </row>
    <row r="34" spans="1:4" x14ac:dyDescent="0.2">
      <c r="A34" s="50" t="s">
        <v>141</v>
      </c>
      <c r="B34" s="69" t="s">
        <v>170</v>
      </c>
      <c r="C34" s="61">
        <v>6442899</v>
      </c>
    </row>
    <row r="35" spans="1:4" ht="7.5" customHeight="1" x14ac:dyDescent="0.2">
      <c r="A35" s="163"/>
      <c r="B35" s="52"/>
      <c r="C35" s="62"/>
    </row>
    <row r="36" spans="1:4" ht="15" customHeight="1" x14ac:dyDescent="0.2">
      <c r="A36" s="50">
        <v>4</v>
      </c>
      <c r="B36" s="51" t="s">
        <v>171</v>
      </c>
      <c r="C36" s="49"/>
    </row>
    <row r="37" spans="1:4" s="76" customFormat="1" ht="15" customHeight="1" x14ac:dyDescent="0.2">
      <c r="A37" s="163" t="s">
        <v>133</v>
      </c>
      <c r="B37" s="52" t="s">
        <v>172</v>
      </c>
      <c r="C37" s="70">
        <v>570186</v>
      </c>
      <c r="D37" s="54"/>
    </row>
    <row r="38" spans="1:4" s="76" customFormat="1" ht="15" customHeight="1" x14ac:dyDescent="0.2">
      <c r="A38" s="163" t="s">
        <v>173</v>
      </c>
      <c r="B38" s="52" t="s">
        <v>174</v>
      </c>
      <c r="C38" s="53">
        <v>570186</v>
      </c>
      <c r="D38" s="54"/>
    </row>
    <row r="39" spans="1:4" s="76" customFormat="1" ht="15" customHeight="1" x14ac:dyDescent="0.2">
      <c r="A39" s="163" t="s">
        <v>175</v>
      </c>
      <c r="B39" s="52" t="s">
        <v>176</v>
      </c>
      <c r="C39" s="53"/>
      <c r="D39" s="54"/>
    </row>
    <row r="40" spans="1:4" ht="15" customHeight="1" x14ac:dyDescent="0.2">
      <c r="A40" s="163" t="s">
        <v>135</v>
      </c>
      <c r="B40" s="56" t="s">
        <v>177</v>
      </c>
      <c r="C40" s="53"/>
      <c r="D40" s="54"/>
    </row>
    <row r="41" spans="1:4" ht="15" customHeight="1" x14ac:dyDescent="0.2">
      <c r="A41" s="163" t="s">
        <v>137</v>
      </c>
      <c r="B41" s="56" t="s">
        <v>178</v>
      </c>
      <c r="C41" s="53"/>
      <c r="D41" s="54"/>
    </row>
    <row r="42" spans="1:4" ht="15" customHeight="1" x14ac:dyDescent="0.2">
      <c r="A42" s="163" t="s">
        <v>139</v>
      </c>
      <c r="B42" s="52" t="s">
        <v>179</v>
      </c>
      <c r="C42" s="53"/>
      <c r="D42" s="54"/>
    </row>
    <row r="43" spans="1:4" ht="15.75" customHeight="1" x14ac:dyDescent="0.2">
      <c r="A43" s="163" t="s">
        <v>141</v>
      </c>
      <c r="B43" s="56" t="s">
        <v>180</v>
      </c>
      <c r="C43" s="53"/>
      <c r="D43" s="54"/>
    </row>
    <row r="44" spans="1:4" ht="15" customHeight="1" x14ac:dyDescent="0.2">
      <c r="A44" s="163" t="s">
        <v>159</v>
      </c>
      <c r="B44" s="52" t="s">
        <v>181</v>
      </c>
      <c r="C44" s="53"/>
      <c r="D44" s="54"/>
    </row>
    <row r="45" spans="1:4" ht="15" customHeight="1" x14ac:dyDescent="0.2">
      <c r="A45" s="163" t="s">
        <v>143</v>
      </c>
      <c r="B45" s="56" t="s">
        <v>182</v>
      </c>
      <c r="C45" s="53">
        <v>145687</v>
      </c>
      <c r="D45" s="54"/>
    </row>
    <row r="46" spans="1:4" ht="15" customHeight="1" x14ac:dyDescent="0.2">
      <c r="A46" s="50" t="s">
        <v>145</v>
      </c>
      <c r="B46" s="51" t="s">
        <v>183</v>
      </c>
      <c r="C46" s="61">
        <v>715873</v>
      </c>
    </row>
    <row r="47" spans="1:4" ht="7.5" customHeight="1" x14ac:dyDescent="0.2">
      <c r="A47" s="163"/>
      <c r="B47" s="52"/>
      <c r="C47" s="62"/>
    </row>
    <row r="48" spans="1:4" ht="15" customHeight="1" x14ac:dyDescent="0.2">
      <c r="A48" s="50">
        <v>5</v>
      </c>
      <c r="B48" s="51" t="s">
        <v>184</v>
      </c>
      <c r="C48" s="49"/>
    </row>
    <row r="49" spans="1:4" ht="15" customHeight="1" x14ac:dyDescent="0.2">
      <c r="A49" s="163" t="s">
        <v>133</v>
      </c>
      <c r="B49" s="52" t="s">
        <v>185</v>
      </c>
      <c r="C49" s="53">
        <v>703418</v>
      </c>
      <c r="D49" s="54"/>
    </row>
    <row r="50" spans="1:4" ht="15" customHeight="1" x14ac:dyDescent="0.2">
      <c r="A50" s="163" t="s">
        <v>135</v>
      </c>
      <c r="B50" s="56" t="s">
        <v>186</v>
      </c>
      <c r="C50" s="53"/>
      <c r="D50" s="54"/>
    </row>
    <row r="51" spans="1:4" ht="15" customHeight="1" x14ac:dyDescent="0.2">
      <c r="A51" s="163" t="s">
        <v>137</v>
      </c>
      <c r="B51" s="56" t="s">
        <v>187</v>
      </c>
      <c r="C51" s="53"/>
      <c r="D51" s="54"/>
    </row>
    <row r="52" spans="1:4" ht="15" customHeight="1" x14ac:dyDescent="0.2">
      <c r="A52" s="163" t="s">
        <v>139</v>
      </c>
      <c r="B52" s="52" t="s">
        <v>188</v>
      </c>
      <c r="C52" s="53"/>
      <c r="D52" s="54"/>
    </row>
    <row r="53" spans="1:4" ht="15" customHeight="1" x14ac:dyDescent="0.2">
      <c r="A53" s="163" t="s">
        <v>141</v>
      </c>
      <c r="B53" s="52" t="s">
        <v>189</v>
      </c>
      <c r="C53" s="53"/>
      <c r="D53" s="54"/>
    </row>
    <row r="54" spans="1:4" ht="15" customHeight="1" x14ac:dyDescent="0.2">
      <c r="A54" s="50" t="s">
        <v>159</v>
      </c>
      <c r="B54" s="51" t="s">
        <v>190</v>
      </c>
      <c r="C54" s="61">
        <v>703418</v>
      </c>
    </row>
    <row r="55" spans="1:4" ht="7.5" customHeight="1" x14ac:dyDescent="0.2">
      <c r="A55" s="50"/>
      <c r="B55" s="51"/>
      <c r="C55" s="71"/>
    </row>
    <row r="56" spans="1:4" ht="15" customHeight="1" x14ac:dyDescent="0.2">
      <c r="A56" s="50">
        <v>6</v>
      </c>
      <c r="B56" s="51" t="s">
        <v>191</v>
      </c>
      <c r="C56" s="61">
        <v>6455354</v>
      </c>
    </row>
    <row r="57" spans="1:4" ht="7.5" customHeight="1" x14ac:dyDescent="0.2">
      <c r="A57" s="50"/>
      <c r="B57" s="51"/>
      <c r="C57" s="71"/>
    </row>
    <row r="58" spans="1:4" x14ac:dyDescent="0.2">
      <c r="A58" s="50">
        <v>7</v>
      </c>
      <c r="B58" s="69" t="s">
        <v>192</v>
      </c>
      <c r="C58" s="49"/>
    </row>
    <row r="59" spans="1:4" ht="15" customHeight="1" x14ac:dyDescent="0.2">
      <c r="A59" s="163" t="s">
        <v>133</v>
      </c>
      <c r="B59" s="56" t="s">
        <v>193</v>
      </c>
      <c r="C59" s="53">
        <v>10184927</v>
      </c>
      <c r="D59" s="54"/>
    </row>
    <row r="60" spans="1:4" ht="15" customHeight="1" x14ac:dyDescent="0.2">
      <c r="A60" s="163" t="s">
        <v>194</v>
      </c>
      <c r="B60" s="52" t="s">
        <v>195</v>
      </c>
      <c r="C60" s="53"/>
      <c r="D60" s="54"/>
    </row>
    <row r="61" spans="1:4" ht="15" customHeight="1" x14ac:dyDescent="0.2">
      <c r="A61" s="163" t="s">
        <v>135</v>
      </c>
      <c r="B61" s="56" t="s">
        <v>196</v>
      </c>
      <c r="C61" s="53">
        <v>1736893</v>
      </c>
      <c r="D61" s="54"/>
    </row>
    <row r="62" spans="1:4" ht="15" customHeight="1" x14ac:dyDescent="0.2">
      <c r="A62" s="163" t="s">
        <v>137</v>
      </c>
      <c r="B62" s="56" t="s">
        <v>197</v>
      </c>
      <c r="C62" s="53">
        <v>14446</v>
      </c>
      <c r="D62" s="54"/>
    </row>
    <row r="63" spans="1:4" ht="15" customHeight="1" x14ac:dyDescent="0.2">
      <c r="A63" s="163" t="s">
        <v>139</v>
      </c>
      <c r="B63" s="56" t="s">
        <v>198</v>
      </c>
      <c r="C63" s="53">
        <v>367600</v>
      </c>
      <c r="D63" s="54"/>
    </row>
    <row r="64" spans="1:4" ht="15" customHeight="1" x14ac:dyDescent="0.2">
      <c r="A64" s="163" t="s">
        <v>141</v>
      </c>
      <c r="B64" s="56" t="s">
        <v>199</v>
      </c>
      <c r="C64" s="53"/>
      <c r="D64" s="54"/>
    </row>
    <row r="65" spans="1:4" ht="15" customHeight="1" x14ac:dyDescent="0.2">
      <c r="A65" s="163" t="s">
        <v>159</v>
      </c>
      <c r="B65" s="56" t="s">
        <v>200</v>
      </c>
      <c r="C65" s="53">
        <v>1230946</v>
      </c>
      <c r="D65" s="54"/>
    </row>
    <row r="66" spans="1:4" ht="15" customHeight="1" x14ac:dyDescent="0.2">
      <c r="A66" s="163" t="s">
        <v>143</v>
      </c>
      <c r="B66" s="56" t="s">
        <v>201</v>
      </c>
      <c r="C66" s="53"/>
      <c r="D66" s="54"/>
    </row>
    <row r="67" spans="1:4" ht="15" customHeight="1" x14ac:dyDescent="0.2">
      <c r="A67" s="163" t="s">
        <v>147</v>
      </c>
      <c r="B67" s="52" t="s">
        <v>202</v>
      </c>
      <c r="C67" s="53"/>
      <c r="D67" s="54"/>
    </row>
    <row r="68" spans="1:4" ht="15" customHeight="1" x14ac:dyDescent="0.2">
      <c r="A68" s="163" t="s">
        <v>147</v>
      </c>
      <c r="B68" s="56" t="s">
        <v>203</v>
      </c>
      <c r="C68" s="53"/>
      <c r="D68" s="54"/>
    </row>
    <row r="69" spans="1:4" ht="15" customHeight="1" x14ac:dyDescent="0.2">
      <c r="A69" s="163" t="s">
        <v>149</v>
      </c>
      <c r="B69" s="52" t="s">
        <v>204</v>
      </c>
      <c r="C69" s="53">
        <v>775190</v>
      </c>
      <c r="D69" s="54"/>
    </row>
    <row r="70" spans="1:4" ht="15" customHeight="1" x14ac:dyDescent="0.2">
      <c r="A70" s="50" t="s">
        <v>151</v>
      </c>
      <c r="B70" s="51" t="s">
        <v>205</v>
      </c>
      <c r="C70" s="61">
        <v>14310002</v>
      </c>
    </row>
    <row r="71" spans="1:4" ht="7.5" customHeight="1" x14ac:dyDescent="0.2">
      <c r="A71" s="163"/>
      <c r="B71" s="52" t="s">
        <v>206</v>
      </c>
      <c r="C71" s="62"/>
    </row>
    <row r="72" spans="1:4" ht="15" customHeight="1" x14ac:dyDescent="0.2">
      <c r="A72" s="50">
        <v>8</v>
      </c>
      <c r="B72" s="51" t="s">
        <v>207</v>
      </c>
      <c r="C72" s="61">
        <v>-7854648</v>
      </c>
    </row>
    <row r="73" spans="1:4" ht="15" customHeight="1" x14ac:dyDescent="0.2">
      <c r="A73" s="163" t="s">
        <v>133</v>
      </c>
      <c r="B73" s="56" t="s">
        <v>208</v>
      </c>
      <c r="C73" s="53"/>
      <c r="D73" s="54"/>
    </row>
    <row r="74" spans="1:4" ht="7.5" customHeight="1" x14ac:dyDescent="0.2">
      <c r="A74" s="163"/>
      <c r="B74" s="52"/>
      <c r="C74" s="71"/>
    </row>
    <row r="75" spans="1:4" ht="15" customHeight="1" x14ac:dyDescent="0.2">
      <c r="A75" s="50">
        <v>9</v>
      </c>
      <c r="B75" s="51" t="s">
        <v>209</v>
      </c>
      <c r="C75" s="61">
        <v>-7854648</v>
      </c>
    </row>
    <row r="76" spans="1:4" ht="15" customHeight="1" x14ac:dyDescent="0.2">
      <c r="A76" s="163" t="s">
        <v>133</v>
      </c>
      <c r="B76" s="52" t="s">
        <v>210</v>
      </c>
      <c r="C76" s="53"/>
    </row>
    <row r="77" spans="1:4" ht="15" customHeight="1" x14ac:dyDescent="0.2">
      <c r="A77" s="163" t="s">
        <v>135</v>
      </c>
      <c r="B77" s="52" t="s">
        <v>211</v>
      </c>
      <c r="C77" s="53"/>
    </row>
    <row r="78" spans="1:4" ht="7.5" customHeight="1" x14ac:dyDescent="0.2">
      <c r="A78" s="50"/>
      <c r="B78" s="51"/>
      <c r="C78" s="62"/>
    </row>
    <row r="79" spans="1:4" ht="15" customHeight="1" x14ac:dyDescent="0.2">
      <c r="A79" s="50">
        <v>10</v>
      </c>
      <c r="B79" s="51" t="s">
        <v>212</v>
      </c>
      <c r="C79" s="61">
        <v>-7854648</v>
      </c>
    </row>
    <row r="80" spans="1:4" ht="15" customHeight="1" x14ac:dyDescent="0.2">
      <c r="A80" s="72"/>
    </row>
    <row r="81" spans="1:1" ht="15" customHeight="1" x14ac:dyDescent="0.2">
      <c r="A81" s="73"/>
    </row>
    <row r="82" spans="1:1" ht="15" customHeight="1" x14ac:dyDescent="0.2">
      <c r="A82" s="73"/>
    </row>
    <row r="84" spans="1:1" ht="15" customHeight="1" x14ac:dyDescent="0.2">
      <c r="A84" s="74"/>
    </row>
    <row r="85" spans="1:1" ht="15" customHeight="1" x14ac:dyDescent="0.2">
      <c r="A85" s="74"/>
    </row>
    <row r="86" spans="1:1" ht="15" customHeight="1" x14ac:dyDescent="0.2">
      <c r="A86" s="74"/>
    </row>
    <row r="88" spans="1:1" ht="15" customHeight="1" x14ac:dyDescent="0.2">
      <c r="A88" s="75"/>
    </row>
    <row r="89" spans="1:1" ht="15" customHeight="1" x14ac:dyDescent="0.2">
      <c r="A89" s="75"/>
    </row>
  </sheetData>
  <mergeCells count="1">
    <mergeCell ref="A2:C2"/>
  </mergeCells>
  <conditionalFormatting sqref="C15">
    <cfRule type="cellIs" dxfId="2" priority="1" operator="notEqual">
      <formula>#REF!</formula>
    </cfRule>
  </conditionalFormatting>
  <conditionalFormatting sqref="C27">
    <cfRule type="cellIs" dxfId="1" priority="2" operator="notEqual">
      <formula>#REF!</formula>
    </cfRule>
  </conditionalFormatting>
  <dataValidations count="3">
    <dataValidation allowBlank="1" showInputMessage="1" showErrorMessage="1" prompt="Значение должно равняться итого процентных доходов (см.следующий лист)" sqref="C15" xr:uid="{3D028EA3-1FE1-4DCE-A05D-AC8B8250C885}"/>
    <dataValidation allowBlank="1" showInputMessage="1" showErrorMessage="1" prompt="Значение должно равняться итого процентных расходов (см. следующую страницу)" sqref="C27" xr:uid="{0A6CCDB8-14B1-4A1C-A548-730FB928B9F3}"/>
    <dataValidation type="whole" operator="notEqual" allowBlank="1" showErrorMessage="1" error="Если увас есть желание не видеть больше_x000a_это сообщение, вводите целые числа!" sqref="C6:C14 C30:C33 C59:C69 C49:C53 C23:C25 C18:C21 C73 C76:C77 C37:C45" xr:uid="{E406C8C7-7B81-43FB-82C7-89AF2E705B2B}">
      <formula1>-1E+21</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8C6E0-0F8D-4C4A-8178-814E0D5C77A5}">
  <dimension ref="A2:L90"/>
  <sheetViews>
    <sheetView topLeftCell="A52" zoomScale="55" zoomScaleNormal="55" workbookViewId="0">
      <selection activeCell="C8" sqref="C8"/>
    </sheetView>
  </sheetViews>
  <sheetFormatPr defaultColWidth="9" defaultRowHeight="15" x14ac:dyDescent="0.25"/>
  <cols>
    <col min="1" max="1" width="8.42578125" style="86" bestFit="1" customWidth="1"/>
    <col min="2" max="2" width="190.42578125" style="86" customWidth="1"/>
    <col min="3" max="10" width="25.42578125" style="86" customWidth="1"/>
    <col min="11" max="11" width="22.140625" style="86" customWidth="1"/>
    <col min="12" max="12" width="17" style="85" customWidth="1"/>
    <col min="13" max="16384" width="9" style="86"/>
  </cols>
  <sheetData>
    <row r="2" spans="1:12" s="79" customFormat="1" ht="32.25" customHeight="1" x14ac:dyDescent="0.25">
      <c r="A2" s="77" t="s">
        <v>213</v>
      </c>
      <c r="B2" s="77"/>
      <c r="C2" s="77"/>
      <c r="D2" s="77"/>
      <c r="E2" s="77"/>
      <c r="F2" s="77"/>
      <c r="G2" s="77"/>
      <c r="H2" s="77"/>
      <c r="I2" s="77"/>
      <c r="J2" s="77"/>
      <c r="K2" s="78" t="s">
        <v>214</v>
      </c>
      <c r="L2" s="77"/>
    </row>
    <row r="3" spans="1:12" s="55" customFormat="1" ht="20.25" x14ac:dyDescent="0.3">
      <c r="A3" s="80"/>
      <c r="B3" s="81" t="s">
        <v>3</v>
      </c>
      <c r="C3" s="82"/>
      <c r="D3" s="82"/>
      <c r="E3" s="82"/>
      <c r="F3" s="82"/>
      <c r="G3" s="82"/>
      <c r="H3" s="82"/>
      <c r="I3" s="82"/>
      <c r="K3" s="83" t="s">
        <v>215</v>
      </c>
    </row>
    <row r="4" spans="1:12" ht="24.75" customHeight="1" x14ac:dyDescent="0.25">
      <c r="A4" s="169" t="s">
        <v>5</v>
      </c>
      <c r="B4" s="169" t="s">
        <v>130</v>
      </c>
      <c r="C4" s="84" t="s">
        <v>216</v>
      </c>
      <c r="D4" s="84" t="s">
        <v>217</v>
      </c>
      <c r="E4" s="84" t="s">
        <v>218</v>
      </c>
      <c r="F4" s="84" t="s">
        <v>219</v>
      </c>
      <c r="G4" s="84" t="s">
        <v>220</v>
      </c>
      <c r="H4" s="84" t="s">
        <v>221</v>
      </c>
      <c r="I4" s="84" t="s">
        <v>222</v>
      </c>
      <c r="J4" s="84" t="s">
        <v>223</v>
      </c>
      <c r="K4" s="171" t="s">
        <v>131</v>
      </c>
    </row>
    <row r="5" spans="1:12" ht="64.5" customHeight="1" x14ac:dyDescent="0.25">
      <c r="A5" s="170"/>
      <c r="B5" s="170"/>
      <c r="C5" s="87" t="s">
        <v>224</v>
      </c>
      <c r="D5" s="87" t="s">
        <v>224</v>
      </c>
      <c r="E5" s="87" t="s">
        <v>224</v>
      </c>
      <c r="F5" s="87" t="s">
        <v>224</v>
      </c>
      <c r="G5" s="87" t="s">
        <v>224</v>
      </c>
      <c r="H5" s="87" t="s">
        <v>224</v>
      </c>
      <c r="I5" s="87" t="s">
        <v>224</v>
      </c>
      <c r="J5" s="87" t="s">
        <v>224</v>
      </c>
      <c r="K5" s="171"/>
    </row>
    <row r="6" spans="1:12" ht="20.100000000000001" customHeight="1" x14ac:dyDescent="0.25">
      <c r="A6" s="88" t="s">
        <v>225</v>
      </c>
      <c r="B6" s="89" t="s">
        <v>226</v>
      </c>
      <c r="C6" s="90"/>
      <c r="D6" s="90"/>
      <c r="E6" s="90"/>
      <c r="F6" s="90"/>
      <c r="G6" s="90"/>
      <c r="H6" s="90"/>
      <c r="I6" s="90"/>
      <c r="J6" s="90"/>
      <c r="K6" s="91">
        <v>0</v>
      </c>
      <c r="L6" s="92"/>
    </row>
    <row r="7" spans="1:12" ht="20.100000000000001" customHeight="1" x14ac:dyDescent="0.25">
      <c r="A7" s="88" t="s">
        <v>227</v>
      </c>
      <c r="B7" s="89" t="s">
        <v>228</v>
      </c>
      <c r="C7" s="93">
        <v>7808282</v>
      </c>
      <c r="D7" s="93">
        <v>0</v>
      </c>
      <c r="E7" s="93">
        <v>0</v>
      </c>
      <c r="F7" s="93">
        <v>0</v>
      </c>
      <c r="G7" s="93">
        <v>0</v>
      </c>
      <c r="H7" s="93">
        <v>0</v>
      </c>
      <c r="I7" s="93">
        <v>0</v>
      </c>
      <c r="J7" s="93">
        <v>0</v>
      </c>
      <c r="K7" s="93">
        <v>7808282</v>
      </c>
      <c r="L7" s="92"/>
    </row>
    <row r="8" spans="1:12" ht="20.100000000000001" customHeight="1" x14ac:dyDescent="0.25">
      <c r="A8" s="88" t="s">
        <v>229</v>
      </c>
      <c r="B8" s="89" t="s">
        <v>230</v>
      </c>
      <c r="C8" s="90">
        <v>7808282</v>
      </c>
      <c r="D8" s="90"/>
      <c r="E8" s="90"/>
      <c r="F8" s="90"/>
      <c r="G8" s="90"/>
      <c r="H8" s="90"/>
      <c r="I8" s="90"/>
      <c r="J8" s="90"/>
      <c r="K8" s="91">
        <v>7808282</v>
      </c>
      <c r="L8" s="92"/>
    </row>
    <row r="9" spans="1:12" ht="20.100000000000001" customHeight="1" x14ac:dyDescent="0.25">
      <c r="A9" s="88" t="s">
        <v>231</v>
      </c>
      <c r="B9" s="89" t="s">
        <v>232</v>
      </c>
      <c r="C9" s="90"/>
      <c r="D9" s="90"/>
      <c r="E9" s="90"/>
      <c r="F9" s="90"/>
      <c r="G9" s="90"/>
      <c r="H9" s="90"/>
      <c r="I9" s="90"/>
      <c r="J9" s="90"/>
      <c r="K9" s="91">
        <v>0</v>
      </c>
      <c r="L9" s="92"/>
    </row>
    <row r="10" spans="1:12" ht="20.100000000000001" customHeight="1" x14ac:dyDescent="0.25">
      <c r="A10" s="88" t="s">
        <v>233</v>
      </c>
      <c r="B10" s="89" t="s">
        <v>234</v>
      </c>
      <c r="C10" s="90"/>
      <c r="D10" s="90"/>
      <c r="E10" s="90"/>
      <c r="F10" s="90"/>
      <c r="G10" s="90"/>
      <c r="H10" s="90"/>
      <c r="I10" s="90"/>
      <c r="J10" s="90"/>
      <c r="K10" s="91">
        <v>0</v>
      </c>
      <c r="L10" s="92"/>
    </row>
    <row r="11" spans="1:12" ht="20.100000000000001" customHeight="1" x14ac:dyDescent="0.25">
      <c r="A11" s="88" t="s">
        <v>235</v>
      </c>
      <c r="B11" s="89" t="s">
        <v>236</v>
      </c>
      <c r="C11" s="94">
        <v>0</v>
      </c>
      <c r="D11" s="94">
        <v>0</v>
      </c>
      <c r="E11" s="94">
        <v>0</v>
      </c>
      <c r="F11" s="94">
        <v>0</v>
      </c>
      <c r="G11" s="94">
        <v>0</v>
      </c>
      <c r="H11" s="94">
        <v>0</v>
      </c>
      <c r="I11" s="94">
        <v>0</v>
      </c>
      <c r="J11" s="94">
        <v>0</v>
      </c>
      <c r="K11" s="94">
        <v>0</v>
      </c>
      <c r="L11" s="92"/>
    </row>
    <row r="12" spans="1:12" ht="20.100000000000001" customHeight="1" x14ac:dyDescent="0.25">
      <c r="A12" s="88" t="s">
        <v>237</v>
      </c>
      <c r="B12" s="89" t="s">
        <v>238</v>
      </c>
      <c r="C12" s="90"/>
      <c r="D12" s="90"/>
      <c r="E12" s="90"/>
      <c r="F12" s="90"/>
      <c r="G12" s="90"/>
      <c r="H12" s="90"/>
      <c r="I12" s="90"/>
      <c r="J12" s="90"/>
      <c r="K12" s="91">
        <v>0</v>
      </c>
      <c r="L12" s="92"/>
    </row>
    <row r="13" spans="1:12" ht="20.100000000000001" customHeight="1" x14ac:dyDescent="0.25">
      <c r="A13" s="88" t="s">
        <v>239</v>
      </c>
      <c r="B13" s="89" t="s">
        <v>240</v>
      </c>
      <c r="C13" s="90"/>
      <c r="D13" s="90"/>
      <c r="E13" s="90"/>
      <c r="F13" s="90"/>
      <c r="G13" s="90"/>
      <c r="H13" s="90"/>
      <c r="I13" s="90"/>
      <c r="J13" s="90"/>
      <c r="K13" s="91">
        <v>0</v>
      </c>
      <c r="L13" s="92"/>
    </row>
    <row r="14" spans="1:12" ht="20.100000000000001" customHeight="1" x14ac:dyDescent="0.25">
      <c r="A14" s="88" t="s">
        <v>241</v>
      </c>
      <c r="B14" s="89" t="s">
        <v>242</v>
      </c>
      <c r="C14" s="90"/>
      <c r="D14" s="90"/>
      <c r="E14" s="90"/>
      <c r="F14" s="90"/>
      <c r="G14" s="90"/>
      <c r="H14" s="90"/>
      <c r="I14" s="90"/>
      <c r="J14" s="90"/>
      <c r="K14" s="91">
        <v>0</v>
      </c>
      <c r="L14" s="92"/>
    </row>
    <row r="15" spans="1:12" ht="20.100000000000001" customHeight="1" x14ac:dyDescent="0.25">
      <c r="A15" s="88" t="s">
        <v>243</v>
      </c>
      <c r="B15" s="89" t="s">
        <v>244</v>
      </c>
      <c r="C15" s="90"/>
      <c r="D15" s="90"/>
      <c r="E15" s="90"/>
      <c r="F15" s="90"/>
      <c r="G15" s="90"/>
      <c r="H15" s="90"/>
      <c r="I15" s="90"/>
      <c r="J15" s="90"/>
      <c r="K15" s="91">
        <v>0</v>
      </c>
      <c r="L15" s="92"/>
    </row>
    <row r="16" spans="1:12" ht="20.100000000000001" customHeight="1" x14ac:dyDescent="0.25">
      <c r="A16" s="88" t="s">
        <v>245</v>
      </c>
      <c r="B16" s="89" t="s">
        <v>246</v>
      </c>
      <c r="C16" s="90"/>
      <c r="D16" s="90"/>
      <c r="E16" s="90"/>
      <c r="F16" s="90"/>
      <c r="G16" s="90"/>
      <c r="H16" s="90"/>
      <c r="I16" s="90"/>
      <c r="J16" s="90"/>
      <c r="K16" s="91">
        <v>0</v>
      </c>
      <c r="L16" s="92"/>
    </row>
    <row r="17" spans="1:12" ht="20.100000000000001" customHeight="1" x14ac:dyDescent="0.25">
      <c r="A17" s="88" t="s">
        <v>247</v>
      </c>
      <c r="B17" s="89" t="s">
        <v>248</v>
      </c>
      <c r="C17" s="93">
        <v>0</v>
      </c>
      <c r="D17" s="93">
        <v>0</v>
      </c>
      <c r="E17" s="93">
        <v>0</v>
      </c>
      <c r="F17" s="93">
        <v>0</v>
      </c>
      <c r="G17" s="93">
        <v>0</v>
      </c>
      <c r="H17" s="93">
        <v>0</v>
      </c>
      <c r="I17" s="93">
        <v>0</v>
      </c>
      <c r="J17" s="93">
        <v>0</v>
      </c>
      <c r="K17" s="93">
        <v>0</v>
      </c>
      <c r="L17" s="92"/>
    </row>
    <row r="18" spans="1:12" ht="24" customHeight="1" x14ac:dyDescent="0.25">
      <c r="A18" s="88" t="s">
        <v>18</v>
      </c>
      <c r="B18" s="89" t="s">
        <v>249</v>
      </c>
      <c r="C18" s="90"/>
      <c r="D18" s="90"/>
      <c r="E18" s="90"/>
      <c r="F18" s="90"/>
      <c r="G18" s="90"/>
      <c r="H18" s="90"/>
      <c r="I18" s="90"/>
      <c r="J18" s="90"/>
      <c r="K18" s="91">
        <v>0</v>
      </c>
      <c r="L18" s="92"/>
    </row>
    <row r="19" spans="1:12" ht="30" x14ac:dyDescent="0.25">
      <c r="A19" s="88" t="s">
        <v>20</v>
      </c>
      <c r="B19" s="89" t="s">
        <v>250</v>
      </c>
      <c r="C19" s="90"/>
      <c r="D19" s="90"/>
      <c r="E19" s="90"/>
      <c r="F19" s="90"/>
      <c r="G19" s="90"/>
      <c r="H19" s="90"/>
      <c r="I19" s="90"/>
      <c r="J19" s="90"/>
      <c r="K19" s="91">
        <v>0</v>
      </c>
      <c r="L19" s="92"/>
    </row>
    <row r="20" spans="1:12" ht="30" x14ac:dyDescent="0.25">
      <c r="A20" s="88" t="s">
        <v>22</v>
      </c>
      <c r="B20" s="89" t="s">
        <v>251</v>
      </c>
      <c r="C20" s="90"/>
      <c r="D20" s="90"/>
      <c r="E20" s="90"/>
      <c r="F20" s="90"/>
      <c r="G20" s="90"/>
      <c r="H20" s="90"/>
      <c r="I20" s="90"/>
      <c r="J20" s="90"/>
      <c r="K20" s="91">
        <v>0</v>
      </c>
      <c r="L20" s="92"/>
    </row>
    <row r="21" spans="1:12" ht="30" x14ac:dyDescent="0.25">
      <c r="A21" s="88" t="s">
        <v>252</v>
      </c>
      <c r="B21" s="89" t="s">
        <v>253</v>
      </c>
      <c r="C21" s="90"/>
      <c r="D21" s="90"/>
      <c r="E21" s="90"/>
      <c r="F21" s="90"/>
      <c r="G21" s="90"/>
      <c r="H21" s="90"/>
      <c r="I21" s="90"/>
      <c r="J21" s="90"/>
      <c r="K21" s="91">
        <v>0</v>
      </c>
      <c r="L21" s="92"/>
    </row>
    <row r="22" spans="1:12" x14ac:dyDescent="0.25">
      <c r="A22" s="88" t="s">
        <v>254</v>
      </c>
      <c r="B22" s="89" t="s">
        <v>255</v>
      </c>
      <c r="C22" s="90"/>
      <c r="D22" s="90"/>
      <c r="E22" s="90"/>
      <c r="F22" s="90"/>
      <c r="G22" s="90"/>
      <c r="H22" s="90"/>
      <c r="I22" s="90"/>
      <c r="J22" s="90"/>
      <c r="K22" s="91">
        <v>0</v>
      </c>
      <c r="L22" s="92"/>
    </row>
    <row r="23" spans="1:12" x14ac:dyDescent="0.25">
      <c r="A23" s="88" t="s">
        <v>256</v>
      </c>
      <c r="B23" s="89" t="s">
        <v>257</v>
      </c>
      <c r="C23" s="90"/>
      <c r="D23" s="90"/>
      <c r="E23" s="90"/>
      <c r="F23" s="90"/>
      <c r="G23" s="90"/>
      <c r="H23" s="90"/>
      <c r="I23" s="90"/>
      <c r="J23" s="90"/>
      <c r="K23" s="91">
        <v>0</v>
      </c>
      <c r="L23" s="92"/>
    </row>
    <row r="24" spans="1:12" ht="53.25" customHeight="1" x14ac:dyDescent="0.25">
      <c r="A24" s="88" t="s">
        <v>258</v>
      </c>
      <c r="B24" s="89" t="s">
        <v>259</v>
      </c>
      <c r="C24" s="90"/>
      <c r="D24" s="90"/>
      <c r="E24" s="90"/>
      <c r="F24" s="90"/>
      <c r="G24" s="90"/>
      <c r="H24" s="90"/>
      <c r="I24" s="90"/>
      <c r="J24" s="90"/>
      <c r="K24" s="91">
        <v>0</v>
      </c>
      <c r="L24" s="92"/>
    </row>
    <row r="25" spans="1:12" ht="52.5" customHeight="1" x14ac:dyDescent="0.25">
      <c r="A25" s="88" t="s">
        <v>260</v>
      </c>
      <c r="B25" s="89" t="s">
        <v>261</v>
      </c>
      <c r="C25" s="90"/>
      <c r="D25" s="90"/>
      <c r="E25" s="90"/>
      <c r="F25" s="90"/>
      <c r="G25" s="90"/>
      <c r="H25" s="90"/>
      <c r="I25" s="90"/>
      <c r="J25" s="90"/>
      <c r="K25" s="91">
        <v>0</v>
      </c>
      <c r="L25" s="92"/>
    </row>
    <row r="26" spans="1:12" x14ac:dyDescent="0.25">
      <c r="A26" s="88" t="s">
        <v>262</v>
      </c>
      <c r="B26" s="95" t="s">
        <v>263</v>
      </c>
      <c r="C26" s="96"/>
      <c r="D26" s="90"/>
      <c r="E26" s="90"/>
      <c r="F26" s="90"/>
      <c r="G26" s="90"/>
      <c r="H26" s="90"/>
      <c r="I26" s="90"/>
      <c r="J26" s="90"/>
      <c r="K26" s="91">
        <v>0</v>
      </c>
      <c r="L26" s="92"/>
    </row>
    <row r="27" spans="1:12" x14ac:dyDescent="0.25">
      <c r="A27" s="88" t="s">
        <v>264</v>
      </c>
      <c r="B27" s="95" t="s">
        <v>265</v>
      </c>
      <c r="C27" s="96"/>
      <c r="D27" s="90"/>
      <c r="E27" s="90"/>
      <c r="F27" s="90"/>
      <c r="G27" s="90"/>
      <c r="H27" s="90"/>
      <c r="I27" s="90"/>
      <c r="J27" s="90"/>
      <c r="K27" s="91">
        <v>0</v>
      </c>
      <c r="L27" s="92"/>
    </row>
    <row r="28" spans="1:12" x14ac:dyDescent="0.25">
      <c r="A28" s="88" t="s">
        <v>266</v>
      </c>
      <c r="B28" s="95" t="s">
        <v>267</v>
      </c>
      <c r="C28" s="96"/>
      <c r="D28" s="90"/>
      <c r="E28" s="90"/>
      <c r="F28" s="90"/>
      <c r="G28" s="90"/>
      <c r="H28" s="90"/>
      <c r="I28" s="90"/>
      <c r="J28" s="90"/>
      <c r="K28" s="91">
        <v>0</v>
      </c>
      <c r="L28" s="92"/>
    </row>
    <row r="29" spans="1:12" x14ac:dyDescent="0.25">
      <c r="A29" s="88" t="s">
        <v>268</v>
      </c>
      <c r="B29" s="89" t="s">
        <v>269</v>
      </c>
      <c r="C29" s="96"/>
      <c r="D29" s="90"/>
      <c r="E29" s="90"/>
      <c r="F29" s="90"/>
      <c r="G29" s="90"/>
      <c r="H29" s="90"/>
      <c r="I29" s="90"/>
      <c r="J29" s="90"/>
      <c r="K29" s="91">
        <v>0</v>
      </c>
      <c r="L29" s="92"/>
    </row>
    <row r="30" spans="1:12" x14ac:dyDescent="0.25">
      <c r="A30" s="88" t="s">
        <v>270</v>
      </c>
      <c r="B30" s="89" t="s">
        <v>271</v>
      </c>
      <c r="C30" s="96"/>
      <c r="D30" s="90"/>
      <c r="E30" s="90"/>
      <c r="F30" s="90"/>
      <c r="G30" s="90"/>
      <c r="H30" s="90"/>
      <c r="I30" s="90"/>
      <c r="J30" s="90"/>
      <c r="K30" s="91">
        <v>0</v>
      </c>
      <c r="L30" s="92"/>
    </row>
    <row r="31" spans="1:12" x14ac:dyDescent="0.25">
      <c r="A31" s="88" t="s">
        <v>272</v>
      </c>
      <c r="B31" s="95" t="s">
        <v>273</v>
      </c>
      <c r="C31" s="96"/>
      <c r="D31" s="90"/>
      <c r="E31" s="90"/>
      <c r="F31" s="90"/>
      <c r="G31" s="90"/>
      <c r="H31" s="90"/>
      <c r="I31" s="90"/>
      <c r="J31" s="90"/>
      <c r="K31" s="91">
        <v>0</v>
      </c>
      <c r="L31" s="92"/>
    </row>
    <row r="32" spans="1:12" ht="20.100000000000001" customHeight="1" x14ac:dyDescent="0.25">
      <c r="A32" s="88" t="s">
        <v>274</v>
      </c>
      <c r="B32" s="95" t="s">
        <v>275</v>
      </c>
      <c r="C32" s="96"/>
      <c r="D32" s="90"/>
      <c r="E32" s="90"/>
      <c r="F32" s="90"/>
      <c r="G32" s="90"/>
      <c r="H32" s="90"/>
      <c r="I32" s="90"/>
      <c r="J32" s="90"/>
      <c r="K32" s="91">
        <v>0</v>
      </c>
      <c r="L32" s="92"/>
    </row>
    <row r="33" spans="1:12" ht="20.100000000000001" customHeight="1" x14ac:dyDescent="0.25">
      <c r="A33" s="88" t="s">
        <v>276</v>
      </c>
      <c r="B33" s="89" t="s">
        <v>277</v>
      </c>
      <c r="C33" s="93">
        <v>1457853</v>
      </c>
      <c r="D33" s="93">
        <v>564752</v>
      </c>
      <c r="E33" s="93">
        <v>1832241</v>
      </c>
      <c r="F33" s="93">
        <v>4615398</v>
      </c>
      <c r="G33" s="93">
        <v>6523966</v>
      </c>
      <c r="H33" s="93">
        <v>12554037</v>
      </c>
      <c r="I33" s="93">
        <v>16044831</v>
      </c>
      <c r="J33" s="93">
        <v>15162059</v>
      </c>
      <c r="K33" s="93">
        <v>58755137</v>
      </c>
      <c r="L33" s="92"/>
    </row>
    <row r="34" spans="1:12" ht="19.5" customHeight="1" x14ac:dyDescent="0.25">
      <c r="A34" s="88" t="s">
        <v>29</v>
      </c>
      <c r="B34" s="89" t="s">
        <v>278</v>
      </c>
      <c r="C34" s="97"/>
      <c r="D34" s="97"/>
      <c r="E34" s="97"/>
      <c r="F34" s="97"/>
      <c r="G34" s="97"/>
      <c r="H34" s="97"/>
      <c r="I34" s="97"/>
      <c r="J34" s="97"/>
      <c r="K34" s="93">
        <v>0</v>
      </c>
      <c r="L34" s="92"/>
    </row>
    <row r="35" spans="1:12" ht="19.5" customHeight="1" x14ac:dyDescent="0.25">
      <c r="A35" s="88" t="s">
        <v>31</v>
      </c>
      <c r="B35" s="95" t="s">
        <v>279</v>
      </c>
      <c r="C35" s="96"/>
      <c r="D35" s="90"/>
      <c r="E35" s="90"/>
      <c r="F35" s="90"/>
      <c r="G35" s="90"/>
      <c r="H35" s="90"/>
      <c r="I35" s="90"/>
      <c r="J35" s="90"/>
      <c r="K35" s="91">
        <v>0</v>
      </c>
      <c r="L35" s="92"/>
    </row>
    <row r="36" spans="1:12" ht="45" x14ac:dyDescent="0.25">
      <c r="A36" s="88" t="s">
        <v>280</v>
      </c>
      <c r="B36" s="95" t="s">
        <v>281</v>
      </c>
      <c r="C36" s="96"/>
      <c r="D36" s="90"/>
      <c r="E36" s="90"/>
      <c r="F36" s="90"/>
      <c r="G36" s="90"/>
      <c r="H36" s="90"/>
      <c r="I36" s="90"/>
      <c r="J36" s="90"/>
      <c r="K36" s="91"/>
      <c r="L36" s="92"/>
    </row>
    <row r="37" spans="1:12" ht="19.5" customHeight="1" x14ac:dyDescent="0.25">
      <c r="A37" s="88" t="s">
        <v>282</v>
      </c>
      <c r="B37" s="95" t="s">
        <v>283</v>
      </c>
      <c r="C37" s="96">
        <v>1457853</v>
      </c>
      <c r="D37" s="90">
        <v>537409</v>
      </c>
      <c r="E37" s="90">
        <v>1742402</v>
      </c>
      <c r="F37" s="90">
        <v>4381034</v>
      </c>
      <c r="G37" s="90">
        <v>6172420</v>
      </c>
      <c r="H37" s="90">
        <v>11831414</v>
      </c>
      <c r="I37" s="90">
        <v>14619115</v>
      </c>
      <c r="J37" s="90">
        <v>12513490</v>
      </c>
      <c r="K37" s="91">
        <v>53255137</v>
      </c>
      <c r="L37" s="92"/>
    </row>
    <row r="38" spans="1:12" x14ac:dyDescent="0.25">
      <c r="A38" s="88" t="s">
        <v>284</v>
      </c>
      <c r="B38" s="95" t="s">
        <v>285</v>
      </c>
      <c r="C38" s="96"/>
      <c r="D38" s="90"/>
      <c r="E38" s="90"/>
      <c r="F38" s="90"/>
      <c r="G38" s="90"/>
      <c r="H38" s="90"/>
      <c r="I38" s="90"/>
      <c r="J38" s="90"/>
      <c r="K38" s="91">
        <v>0</v>
      </c>
      <c r="L38" s="92"/>
    </row>
    <row r="39" spans="1:12" ht="20.100000000000001" customHeight="1" x14ac:dyDescent="0.25">
      <c r="A39" s="88" t="s">
        <v>286</v>
      </c>
      <c r="B39" s="95" t="s">
        <v>287</v>
      </c>
      <c r="C39" s="96"/>
      <c r="D39" s="90"/>
      <c r="E39" s="90"/>
      <c r="F39" s="90"/>
      <c r="G39" s="90"/>
      <c r="H39" s="90"/>
      <c r="I39" s="90"/>
      <c r="J39" s="90"/>
      <c r="K39" s="91">
        <v>0</v>
      </c>
      <c r="L39" s="92"/>
    </row>
    <row r="40" spans="1:12" ht="20.100000000000001" customHeight="1" x14ac:dyDescent="0.25">
      <c r="A40" s="88" t="s">
        <v>288</v>
      </c>
      <c r="B40" s="95" t="s">
        <v>289</v>
      </c>
      <c r="C40" s="90"/>
      <c r="D40" s="90"/>
      <c r="E40" s="90"/>
      <c r="F40" s="90"/>
      <c r="G40" s="90"/>
      <c r="H40" s="90"/>
      <c r="I40" s="90"/>
      <c r="J40" s="90"/>
      <c r="K40" s="91">
        <v>0</v>
      </c>
      <c r="L40" s="92"/>
    </row>
    <row r="41" spans="1:12" ht="20.100000000000001" customHeight="1" x14ac:dyDescent="0.25">
      <c r="A41" s="88" t="s">
        <v>290</v>
      </c>
      <c r="B41" s="95" t="s">
        <v>291</v>
      </c>
      <c r="C41" s="90"/>
      <c r="D41" s="90">
        <v>24823</v>
      </c>
      <c r="E41" s="90">
        <v>81560</v>
      </c>
      <c r="F41" s="90">
        <v>212766</v>
      </c>
      <c r="G41" s="90">
        <v>319149</v>
      </c>
      <c r="H41" s="90">
        <v>656028</v>
      </c>
      <c r="I41" s="90">
        <v>1294326</v>
      </c>
      <c r="J41" s="90">
        <v>2411348</v>
      </c>
      <c r="K41" s="91">
        <v>5000000</v>
      </c>
      <c r="L41" s="92"/>
    </row>
    <row r="42" spans="1:12" ht="30" x14ac:dyDescent="0.25">
      <c r="A42" s="88" t="s">
        <v>292</v>
      </c>
      <c r="B42" s="95" t="s">
        <v>293</v>
      </c>
      <c r="C42" s="90"/>
      <c r="D42" s="90"/>
      <c r="E42" s="90"/>
      <c r="F42" s="90"/>
      <c r="G42" s="90"/>
      <c r="H42" s="90"/>
      <c r="I42" s="90"/>
      <c r="J42" s="90"/>
      <c r="K42" s="91">
        <v>0</v>
      </c>
      <c r="L42" s="92"/>
    </row>
    <row r="43" spans="1:12" x14ac:dyDescent="0.25">
      <c r="A43" s="88" t="s">
        <v>294</v>
      </c>
      <c r="B43" s="95" t="s">
        <v>295</v>
      </c>
      <c r="C43" s="90"/>
      <c r="D43" s="90">
        <v>2520</v>
      </c>
      <c r="E43" s="90">
        <v>8279</v>
      </c>
      <c r="F43" s="90">
        <v>21598</v>
      </c>
      <c r="G43" s="90">
        <v>32397</v>
      </c>
      <c r="H43" s="90">
        <v>66595</v>
      </c>
      <c r="I43" s="90">
        <v>131390</v>
      </c>
      <c r="J43" s="90">
        <v>237221</v>
      </c>
      <c r="K43" s="91">
        <v>500000</v>
      </c>
      <c r="L43" s="92"/>
    </row>
    <row r="44" spans="1:12" ht="45" x14ac:dyDescent="0.25">
      <c r="A44" s="88" t="s">
        <v>296</v>
      </c>
      <c r="B44" s="95" t="s">
        <v>297</v>
      </c>
      <c r="C44" s="90"/>
      <c r="D44" s="90"/>
      <c r="E44" s="90"/>
      <c r="F44" s="90"/>
      <c r="G44" s="90"/>
      <c r="H44" s="90"/>
      <c r="I44" s="90"/>
      <c r="J44" s="90"/>
      <c r="K44" s="91">
        <v>0</v>
      </c>
      <c r="L44" s="92"/>
    </row>
    <row r="45" spans="1:12" ht="27.75" customHeight="1" x14ac:dyDescent="0.25">
      <c r="A45" s="88" t="s">
        <v>298</v>
      </c>
      <c r="B45" s="95" t="s">
        <v>299</v>
      </c>
      <c r="C45" s="90"/>
      <c r="D45" s="90"/>
      <c r="E45" s="90"/>
      <c r="F45" s="90"/>
      <c r="G45" s="90"/>
      <c r="H45" s="90"/>
      <c r="I45" s="90"/>
      <c r="J45" s="90"/>
      <c r="K45" s="91">
        <v>0</v>
      </c>
      <c r="L45" s="92"/>
    </row>
    <row r="46" spans="1:12" ht="51" customHeight="1" x14ac:dyDescent="0.25">
      <c r="A46" s="88" t="s">
        <v>300</v>
      </c>
      <c r="B46" s="95" t="s">
        <v>301</v>
      </c>
      <c r="C46" s="90"/>
      <c r="D46" s="90"/>
      <c r="E46" s="90"/>
      <c r="F46" s="90"/>
      <c r="G46" s="90"/>
      <c r="H46" s="90"/>
      <c r="I46" s="90"/>
      <c r="J46" s="90"/>
      <c r="K46" s="91">
        <v>0</v>
      </c>
      <c r="L46" s="92"/>
    </row>
    <row r="47" spans="1:12" ht="20.100000000000001" customHeight="1" x14ac:dyDescent="0.25">
      <c r="A47" s="88" t="s">
        <v>302</v>
      </c>
      <c r="B47" s="95" t="s">
        <v>303</v>
      </c>
      <c r="C47" s="90"/>
      <c r="D47" s="90"/>
      <c r="E47" s="90"/>
      <c r="F47" s="90"/>
      <c r="G47" s="90"/>
      <c r="H47" s="90"/>
      <c r="I47" s="90"/>
      <c r="J47" s="90"/>
      <c r="K47" s="91">
        <v>0</v>
      </c>
      <c r="L47" s="92"/>
    </row>
    <row r="48" spans="1:12" ht="20.100000000000001" customHeight="1" x14ac:dyDescent="0.25">
      <c r="A48" s="88" t="s">
        <v>304</v>
      </c>
      <c r="B48" s="95" t="s">
        <v>305</v>
      </c>
      <c r="C48" s="90"/>
      <c r="D48" s="90"/>
      <c r="E48" s="90"/>
      <c r="F48" s="90"/>
      <c r="G48" s="90"/>
      <c r="H48" s="90"/>
      <c r="I48" s="90"/>
      <c r="J48" s="90"/>
      <c r="K48" s="91">
        <v>0</v>
      </c>
      <c r="L48" s="92"/>
    </row>
    <row r="49" spans="1:12" ht="20.100000000000001" customHeight="1" x14ac:dyDescent="0.25">
      <c r="A49" s="88" t="s">
        <v>306</v>
      </c>
      <c r="B49" s="98" t="s">
        <v>307</v>
      </c>
      <c r="C49" s="90"/>
      <c r="D49" s="90"/>
      <c r="E49" s="90"/>
      <c r="F49" s="90"/>
      <c r="G49" s="90"/>
      <c r="H49" s="90"/>
      <c r="I49" s="90"/>
      <c r="J49" s="90"/>
      <c r="K49" s="91">
        <v>0</v>
      </c>
      <c r="L49" s="92"/>
    </row>
    <row r="50" spans="1:12" ht="20.100000000000001" customHeight="1" x14ac:dyDescent="0.25">
      <c r="A50" s="88" t="s">
        <v>308</v>
      </c>
      <c r="B50" s="98" t="s">
        <v>309</v>
      </c>
      <c r="C50" s="90"/>
      <c r="D50" s="90"/>
      <c r="E50" s="90"/>
      <c r="F50" s="90"/>
      <c r="G50" s="90"/>
      <c r="H50" s="90"/>
      <c r="I50" s="90"/>
      <c r="J50" s="90"/>
      <c r="K50" s="91">
        <v>0</v>
      </c>
      <c r="L50" s="92"/>
    </row>
    <row r="51" spans="1:12" ht="20.100000000000001" customHeight="1" x14ac:dyDescent="0.25">
      <c r="A51" s="88" t="s">
        <v>310</v>
      </c>
      <c r="B51" s="95" t="s">
        <v>311</v>
      </c>
      <c r="C51" s="93">
        <v>2123388</v>
      </c>
      <c r="D51" s="93">
        <v>0</v>
      </c>
      <c r="E51" s="93">
        <v>1830515</v>
      </c>
      <c r="F51" s="93">
        <v>0</v>
      </c>
      <c r="G51" s="93">
        <v>0</v>
      </c>
      <c r="H51" s="93">
        <v>0</v>
      </c>
      <c r="I51" s="93">
        <v>0</v>
      </c>
      <c r="J51" s="93">
        <v>0</v>
      </c>
      <c r="K51" s="93">
        <v>3953903</v>
      </c>
      <c r="L51" s="92"/>
    </row>
    <row r="52" spans="1:12" ht="20.100000000000001" customHeight="1" x14ac:dyDescent="0.25">
      <c r="A52" s="88" t="s">
        <v>46</v>
      </c>
      <c r="B52" s="95" t="s">
        <v>312</v>
      </c>
      <c r="C52" s="90"/>
      <c r="D52" s="90"/>
      <c r="E52" s="90"/>
      <c r="F52" s="90"/>
      <c r="G52" s="90"/>
      <c r="H52" s="90"/>
      <c r="I52" s="90"/>
      <c r="J52" s="90"/>
      <c r="K52" s="91">
        <v>0</v>
      </c>
      <c r="L52" s="92"/>
    </row>
    <row r="53" spans="1:12" ht="20.100000000000001" customHeight="1" x14ac:dyDescent="0.25">
      <c r="A53" s="88" t="s">
        <v>48</v>
      </c>
      <c r="B53" s="89" t="s">
        <v>313</v>
      </c>
      <c r="C53" s="90"/>
      <c r="D53" s="90"/>
      <c r="E53" s="90"/>
      <c r="F53" s="90"/>
      <c r="G53" s="90"/>
      <c r="H53" s="90"/>
      <c r="I53" s="90"/>
      <c r="J53" s="90"/>
      <c r="K53" s="91">
        <v>0</v>
      </c>
      <c r="L53" s="92"/>
    </row>
    <row r="54" spans="1:12" ht="20.100000000000001" customHeight="1" x14ac:dyDescent="0.25">
      <c r="A54" s="88" t="s">
        <v>314</v>
      </c>
      <c r="B54" s="89" t="s">
        <v>315</v>
      </c>
      <c r="C54" s="90"/>
      <c r="D54" s="90"/>
      <c r="E54" s="90"/>
      <c r="F54" s="90"/>
      <c r="G54" s="90"/>
      <c r="H54" s="90"/>
      <c r="I54" s="90"/>
      <c r="J54" s="90"/>
      <c r="K54" s="91">
        <v>0</v>
      </c>
      <c r="L54" s="92"/>
    </row>
    <row r="55" spans="1:12" ht="20.100000000000001" customHeight="1" x14ac:dyDescent="0.25">
      <c r="A55" s="88" t="s">
        <v>316</v>
      </c>
      <c r="B55" s="95" t="s">
        <v>317</v>
      </c>
      <c r="C55" s="90">
        <v>2123388</v>
      </c>
      <c r="D55" s="90"/>
      <c r="E55" s="90">
        <v>1830515</v>
      </c>
      <c r="F55" s="90"/>
      <c r="G55" s="90"/>
      <c r="H55" s="90"/>
      <c r="I55" s="90"/>
      <c r="J55" s="90"/>
      <c r="K55" s="91">
        <v>3953903</v>
      </c>
      <c r="L55" s="92"/>
    </row>
    <row r="56" spans="1:12" ht="20.100000000000001" customHeight="1" x14ac:dyDescent="0.25">
      <c r="A56" s="88" t="s">
        <v>318</v>
      </c>
      <c r="B56" s="89" t="s">
        <v>319</v>
      </c>
      <c r="C56" s="90"/>
      <c r="D56" s="90"/>
      <c r="E56" s="90"/>
      <c r="F56" s="90"/>
      <c r="G56" s="90"/>
      <c r="H56" s="90"/>
      <c r="I56" s="90"/>
      <c r="J56" s="90"/>
      <c r="K56" s="91">
        <v>0</v>
      </c>
      <c r="L56" s="92"/>
    </row>
    <row r="57" spans="1:12" ht="20.100000000000001" customHeight="1" x14ac:dyDescent="0.25">
      <c r="A57" s="88" t="s">
        <v>320</v>
      </c>
      <c r="B57" s="89" t="s">
        <v>321</v>
      </c>
      <c r="C57" s="90"/>
      <c r="D57" s="90"/>
      <c r="E57" s="90"/>
      <c r="F57" s="90"/>
      <c r="G57" s="90"/>
      <c r="H57" s="90"/>
      <c r="I57" s="90"/>
      <c r="J57" s="90"/>
      <c r="K57" s="91">
        <v>0</v>
      </c>
      <c r="L57" s="92"/>
    </row>
    <row r="58" spans="1:12" ht="20.100000000000001" customHeight="1" x14ac:dyDescent="0.25">
      <c r="A58" s="88" t="s">
        <v>322</v>
      </c>
      <c r="B58" s="95" t="s">
        <v>323</v>
      </c>
      <c r="C58" s="90"/>
      <c r="D58" s="90"/>
      <c r="E58" s="90"/>
      <c r="F58" s="90"/>
      <c r="G58" s="90"/>
      <c r="H58" s="90"/>
      <c r="I58" s="90"/>
      <c r="J58" s="90"/>
      <c r="K58" s="91">
        <v>0</v>
      </c>
      <c r="L58" s="92"/>
    </row>
    <row r="59" spans="1:12" ht="20.100000000000001" customHeight="1" x14ac:dyDescent="0.25">
      <c r="A59" s="88" t="s">
        <v>324</v>
      </c>
      <c r="B59" s="95" t="s">
        <v>325</v>
      </c>
      <c r="C59" s="90"/>
      <c r="D59" s="90"/>
      <c r="E59" s="90"/>
      <c r="F59" s="90"/>
      <c r="G59" s="90"/>
      <c r="H59" s="90"/>
      <c r="I59" s="90"/>
      <c r="J59" s="90"/>
      <c r="K59" s="91">
        <v>0</v>
      </c>
      <c r="L59" s="92"/>
    </row>
    <row r="60" spans="1:12" ht="20.100000000000001" customHeight="1" x14ac:dyDescent="0.25">
      <c r="A60" s="88" t="s">
        <v>71</v>
      </c>
      <c r="B60" s="95" t="s">
        <v>326</v>
      </c>
      <c r="C60" s="90">
        <v>8177340</v>
      </c>
      <c r="D60" s="90"/>
      <c r="E60" s="90"/>
      <c r="F60" s="90"/>
      <c r="G60" s="90"/>
      <c r="H60" s="90"/>
      <c r="I60" s="90"/>
      <c r="J60" s="90"/>
      <c r="K60" s="91">
        <v>8177340</v>
      </c>
      <c r="L60" s="92"/>
    </row>
    <row r="61" spans="1:12" ht="20.100000000000001" customHeight="1" x14ac:dyDescent="0.25">
      <c r="A61" s="88" t="s">
        <v>74</v>
      </c>
      <c r="B61" s="95" t="s">
        <v>327</v>
      </c>
      <c r="C61" s="90">
        <v>15011690</v>
      </c>
      <c r="D61" s="90"/>
      <c r="E61" s="90"/>
      <c r="F61" s="90"/>
      <c r="G61" s="90"/>
      <c r="H61" s="90"/>
      <c r="I61" s="90"/>
      <c r="J61" s="90"/>
      <c r="K61" s="91">
        <v>15011690</v>
      </c>
      <c r="L61" s="92"/>
    </row>
    <row r="62" spans="1:12" ht="20.100000000000001" customHeight="1" x14ac:dyDescent="0.25">
      <c r="A62" s="88" t="s">
        <v>76</v>
      </c>
      <c r="B62" s="95" t="s">
        <v>328</v>
      </c>
      <c r="C62" s="90"/>
      <c r="D62" s="90"/>
      <c r="E62" s="90"/>
      <c r="F62" s="90"/>
      <c r="G62" s="90"/>
      <c r="H62" s="90"/>
      <c r="I62" s="90"/>
      <c r="J62" s="90"/>
      <c r="K62" s="91">
        <v>0</v>
      </c>
      <c r="L62" s="92"/>
    </row>
    <row r="63" spans="1:12" ht="20.100000000000001" customHeight="1" x14ac:dyDescent="0.25">
      <c r="A63" s="88" t="s">
        <v>78</v>
      </c>
      <c r="B63" s="95" t="s">
        <v>329</v>
      </c>
      <c r="C63" s="90"/>
      <c r="D63" s="90"/>
      <c r="E63" s="90"/>
      <c r="F63" s="90"/>
      <c r="G63" s="90"/>
      <c r="H63" s="90"/>
      <c r="I63" s="90"/>
      <c r="J63" s="90"/>
      <c r="K63" s="91">
        <v>0</v>
      </c>
      <c r="L63" s="92"/>
    </row>
    <row r="64" spans="1:12" ht="20.100000000000001" customHeight="1" x14ac:dyDescent="0.25">
      <c r="A64" s="88" t="s">
        <v>80</v>
      </c>
      <c r="B64" s="95" t="s">
        <v>330</v>
      </c>
      <c r="C64" s="90"/>
      <c r="D64" s="90"/>
      <c r="E64" s="90"/>
      <c r="F64" s="90"/>
      <c r="G64" s="90"/>
      <c r="H64" s="90"/>
      <c r="I64" s="90"/>
      <c r="J64" s="90"/>
      <c r="K64" s="91">
        <v>0</v>
      </c>
      <c r="L64" s="92"/>
    </row>
    <row r="65" spans="1:12" ht="20.100000000000001" customHeight="1" x14ac:dyDescent="0.25">
      <c r="A65" s="88" t="s">
        <v>82</v>
      </c>
      <c r="B65" s="95" t="s">
        <v>331</v>
      </c>
      <c r="C65" s="90">
        <v>331601</v>
      </c>
      <c r="D65" s="90">
        <v>2162202</v>
      </c>
      <c r="E65" s="90">
        <v>1836849.0046199998</v>
      </c>
      <c r="F65" s="90">
        <v>2995178</v>
      </c>
      <c r="G65" s="90">
        <v>6821879</v>
      </c>
      <c r="H65" s="90"/>
      <c r="I65" s="90"/>
      <c r="J65" s="90"/>
      <c r="K65" s="91">
        <v>14147709.004620001</v>
      </c>
      <c r="L65" s="92"/>
    </row>
    <row r="66" spans="1:12" ht="20.100000000000001" customHeight="1" x14ac:dyDescent="0.25">
      <c r="A66" s="88" t="s">
        <v>84</v>
      </c>
      <c r="B66" s="89" t="s">
        <v>332</v>
      </c>
      <c r="C66" s="93">
        <v>0</v>
      </c>
      <c r="D66" s="93">
        <v>0</v>
      </c>
      <c r="E66" s="93">
        <v>0</v>
      </c>
      <c r="F66" s="93">
        <v>0</v>
      </c>
      <c r="G66" s="93">
        <v>0</v>
      </c>
      <c r="H66" s="93">
        <v>0</v>
      </c>
      <c r="I66" s="93">
        <v>0</v>
      </c>
      <c r="J66" s="93">
        <v>0</v>
      </c>
      <c r="K66" s="93">
        <v>0</v>
      </c>
      <c r="L66" s="92"/>
    </row>
    <row r="67" spans="1:12" ht="20.100000000000001" customHeight="1" x14ac:dyDescent="0.25">
      <c r="A67" s="88" t="s">
        <v>333</v>
      </c>
      <c r="B67" s="89" t="s">
        <v>334</v>
      </c>
      <c r="C67" s="90"/>
      <c r="D67" s="90"/>
      <c r="E67" s="90"/>
      <c r="F67" s="90"/>
      <c r="G67" s="90"/>
      <c r="H67" s="90"/>
      <c r="I67" s="90"/>
      <c r="J67" s="90"/>
      <c r="K67" s="91">
        <v>0</v>
      </c>
      <c r="L67" s="92"/>
    </row>
    <row r="68" spans="1:12" ht="20.100000000000001" customHeight="1" x14ac:dyDescent="0.25">
      <c r="A68" s="88" t="s">
        <v>335</v>
      </c>
      <c r="B68" s="89" t="s">
        <v>336</v>
      </c>
      <c r="C68" s="90"/>
      <c r="D68" s="90"/>
      <c r="E68" s="90"/>
      <c r="F68" s="90"/>
      <c r="G68" s="90"/>
      <c r="H68" s="90"/>
      <c r="I68" s="90"/>
      <c r="J68" s="90"/>
      <c r="K68" s="91">
        <v>0</v>
      </c>
      <c r="L68" s="92"/>
    </row>
    <row r="69" spans="1:12" ht="20.100000000000001" customHeight="1" x14ac:dyDescent="0.25">
      <c r="A69" s="88" t="s">
        <v>337</v>
      </c>
      <c r="B69" s="89" t="s">
        <v>338</v>
      </c>
      <c r="C69" s="90"/>
      <c r="D69" s="90"/>
      <c r="E69" s="90"/>
      <c r="F69" s="90"/>
      <c r="G69" s="90"/>
      <c r="H69" s="90"/>
      <c r="I69" s="90"/>
      <c r="J69" s="90"/>
      <c r="K69" s="91">
        <v>0</v>
      </c>
      <c r="L69" s="92"/>
    </row>
    <row r="70" spans="1:12" ht="20.100000000000001" customHeight="1" x14ac:dyDescent="0.25">
      <c r="A70" s="88" t="s">
        <v>339</v>
      </c>
      <c r="B70" s="89" t="s">
        <v>340</v>
      </c>
      <c r="C70" s="90"/>
      <c r="D70" s="90"/>
      <c r="E70" s="90"/>
      <c r="F70" s="90"/>
      <c r="G70" s="90"/>
      <c r="H70" s="90"/>
      <c r="I70" s="90"/>
      <c r="J70" s="90"/>
      <c r="K70" s="91">
        <v>0</v>
      </c>
      <c r="L70" s="92"/>
    </row>
    <row r="71" spans="1:12" ht="20.100000000000001" customHeight="1" x14ac:dyDescent="0.25">
      <c r="A71" s="88" t="s">
        <v>86</v>
      </c>
      <c r="B71" s="89" t="s">
        <v>341</v>
      </c>
      <c r="C71" s="90"/>
      <c r="D71" s="90"/>
      <c r="E71" s="90"/>
      <c r="F71" s="90"/>
      <c r="G71" s="90"/>
      <c r="H71" s="90"/>
      <c r="I71" s="90"/>
      <c r="J71" s="90"/>
      <c r="K71" s="91">
        <v>0</v>
      </c>
      <c r="L71" s="92"/>
    </row>
    <row r="72" spans="1:12" ht="30" x14ac:dyDescent="0.25">
      <c r="A72" s="88" t="s">
        <v>88</v>
      </c>
      <c r="B72" s="89" t="s">
        <v>342</v>
      </c>
      <c r="C72" s="90"/>
      <c r="D72" s="90"/>
      <c r="E72" s="90"/>
      <c r="F72" s="90"/>
      <c r="G72" s="90"/>
      <c r="H72" s="90"/>
      <c r="I72" s="90"/>
      <c r="J72" s="90"/>
      <c r="K72" s="91">
        <v>0</v>
      </c>
      <c r="L72" s="92"/>
    </row>
    <row r="73" spans="1:12" ht="20.100000000000001" customHeight="1" x14ac:dyDescent="0.25">
      <c r="A73" s="88"/>
      <c r="B73" s="99" t="s">
        <v>343</v>
      </c>
      <c r="C73" s="93">
        <v>34910154</v>
      </c>
      <c r="D73" s="93">
        <v>2726954</v>
      </c>
      <c r="E73" s="93">
        <v>5499605.0046199998</v>
      </c>
      <c r="F73" s="93">
        <v>7610576</v>
      </c>
      <c r="G73" s="93">
        <v>13345845</v>
      </c>
      <c r="H73" s="93">
        <v>12554037</v>
      </c>
      <c r="I73" s="93">
        <v>16044831</v>
      </c>
      <c r="J73" s="93">
        <v>15162059</v>
      </c>
      <c r="K73" s="93">
        <v>107854061.00462</v>
      </c>
      <c r="L73" s="92"/>
    </row>
    <row r="74" spans="1:12" ht="20.100000000000001" customHeight="1" x14ac:dyDescent="0.25">
      <c r="A74" s="88">
        <v>1</v>
      </c>
      <c r="B74" s="89" t="s">
        <v>344</v>
      </c>
      <c r="C74" s="90"/>
      <c r="D74" s="90"/>
      <c r="E74" s="90"/>
      <c r="F74" s="90"/>
      <c r="G74" s="90"/>
      <c r="H74" s="90"/>
      <c r="I74" s="90"/>
      <c r="J74" s="90"/>
      <c r="K74" s="91">
        <v>0</v>
      </c>
      <c r="L74" s="92"/>
    </row>
    <row r="75" spans="1:12" ht="20.100000000000001" customHeight="1" x14ac:dyDescent="0.25">
      <c r="A75" s="88"/>
      <c r="B75" s="89" t="s">
        <v>345</v>
      </c>
      <c r="C75" s="90"/>
      <c r="D75" s="90"/>
      <c r="E75" s="90"/>
      <c r="F75" s="90"/>
      <c r="G75" s="90"/>
      <c r="H75" s="90"/>
      <c r="I75" s="90"/>
      <c r="J75" s="90"/>
      <c r="K75" s="91">
        <v>0</v>
      </c>
      <c r="L75" s="92"/>
    </row>
    <row r="76" spans="1:12" ht="20.100000000000001" customHeight="1" x14ac:dyDescent="0.25">
      <c r="A76" s="88"/>
      <c r="B76" s="95" t="s">
        <v>346</v>
      </c>
      <c r="C76" s="90"/>
      <c r="D76" s="90"/>
      <c r="E76" s="90"/>
      <c r="F76" s="90"/>
      <c r="G76" s="90"/>
      <c r="H76" s="90"/>
      <c r="I76" s="90"/>
      <c r="J76" s="90"/>
      <c r="K76" s="91">
        <v>0</v>
      </c>
      <c r="L76" s="92"/>
    </row>
    <row r="77" spans="1:12" ht="20.100000000000001" customHeight="1" x14ac:dyDescent="0.25">
      <c r="A77" s="88"/>
      <c r="B77" s="95" t="s">
        <v>347</v>
      </c>
      <c r="C77" s="90"/>
      <c r="D77" s="90"/>
      <c r="E77" s="90"/>
      <c r="F77" s="90"/>
      <c r="G77" s="90"/>
      <c r="H77" s="90"/>
      <c r="I77" s="90"/>
      <c r="J77" s="90"/>
      <c r="K77" s="91">
        <v>0</v>
      </c>
      <c r="L77" s="92"/>
    </row>
    <row r="78" spans="1:12" ht="30" x14ac:dyDescent="0.25">
      <c r="A78" s="88"/>
      <c r="B78" s="95" t="s">
        <v>348</v>
      </c>
      <c r="C78" s="90"/>
      <c r="D78" s="90"/>
      <c r="E78" s="90"/>
      <c r="F78" s="90"/>
      <c r="G78" s="90"/>
      <c r="H78" s="90"/>
      <c r="I78" s="90"/>
      <c r="J78" s="90"/>
      <c r="K78" s="91">
        <v>0</v>
      </c>
      <c r="L78" s="92"/>
    </row>
    <row r="79" spans="1:12" ht="20.100000000000001" customHeight="1" x14ac:dyDescent="0.25">
      <c r="A79" s="88">
        <v>2</v>
      </c>
      <c r="B79" s="95" t="s">
        <v>349</v>
      </c>
      <c r="C79" s="90"/>
      <c r="D79" s="90"/>
      <c r="E79" s="90"/>
      <c r="F79" s="90"/>
      <c r="G79" s="90"/>
      <c r="H79" s="90"/>
      <c r="I79" s="90"/>
      <c r="J79" s="90"/>
      <c r="K79" s="91">
        <v>0</v>
      </c>
      <c r="L79" s="92"/>
    </row>
    <row r="80" spans="1:12" ht="20.100000000000001" customHeight="1" x14ac:dyDescent="0.25">
      <c r="A80" s="88"/>
      <c r="B80" s="95" t="s">
        <v>350</v>
      </c>
      <c r="C80" s="90"/>
      <c r="D80" s="90"/>
      <c r="E80" s="90"/>
      <c r="F80" s="90"/>
      <c r="G80" s="90"/>
      <c r="H80" s="90"/>
      <c r="I80" s="90"/>
      <c r="J80" s="90"/>
      <c r="K80" s="91">
        <v>0</v>
      </c>
      <c r="L80" s="92"/>
    </row>
    <row r="81" spans="1:12" ht="20.100000000000001" customHeight="1" x14ac:dyDescent="0.25">
      <c r="A81" s="88">
        <v>3</v>
      </c>
      <c r="B81" s="95" t="s">
        <v>351</v>
      </c>
      <c r="C81" s="90"/>
      <c r="D81" s="90"/>
      <c r="E81" s="90"/>
      <c r="F81" s="90"/>
      <c r="G81" s="90"/>
      <c r="H81" s="90"/>
      <c r="I81" s="90"/>
      <c r="J81" s="90"/>
      <c r="K81" s="91">
        <v>0</v>
      </c>
      <c r="L81" s="92"/>
    </row>
    <row r="82" spans="1:12" ht="20.100000000000001" customHeight="1" x14ac:dyDescent="0.25">
      <c r="A82" s="88"/>
      <c r="B82" s="89" t="s">
        <v>352</v>
      </c>
      <c r="C82" s="90"/>
      <c r="D82" s="90"/>
      <c r="E82" s="90"/>
      <c r="F82" s="90"/>
      <c r="G82" s="90"/>
      <c r="H82" s="90"/>
      <c r="I82" s="90"/>
      <c r="J82" s="90"/>
      <c r="K82" s="91">
        <v>0</v>
      </c>
      <c r="L82" s="92"/>
    </row>
    <row r="83" spans="1:12" ht="20.100000000000001" customHeight="1" x14ac:dyDescent="0.25">
      <c r="A83" s="88"/>
      <c r="B83" s="89" t="s">
        <v>353</v>
      </c>
      <c r="C83" s="90"/>
      <c r="D83" s="90"/>
      <c r="E83" s="90"/>
      <c r="F83" s="90"/>
      <c r="G83" s="90"/>
      <c r="H83" s="90"/>
      <c r="I83" s="90"/>
      <c r="J83" s="90"/>
      <c r="K83" s="91">
        <v>0</v>
      </c>
      <c r="L83" s="92"/>
    </row>
    <row r="84" spans="1:12" ht="20.100000000000001" customHeight="1" x14ac:dyDescent="0.25">
      <c r="A84" s="88"/>
      <c r="B84" s="89" t="s">
        <v>354</v>
      </c>
      <c r="C84" s="90"/>
      <c r="D84" s="90"/>
      <c r="E84" s="90"/>
      <c r="F84" s="90"/>
      <c r="G84" s="90"/>
      <c r="H84" s="90"/>
      <c r="I84" s="90"/>
      <c r="J84" s="90"/>
      <c r="K84" s="91">
        <v>0</v>
      </c>
      <c r="L84" s="92"/>
    </row>
    <row r="85" spans="1:12" ht="20.100000000000001" customHeight="1" x14ac:dyDescent="0.25">
      <c r="A85" s="88"/>
      <c r="B85" s="89" t="s">
        <v>355</v>
      </c>
      <c r="C85" s="90"/>
      <c r="D85" s="90"/>
      <c r="E85" s="90"/>
      <c r="F85" s="90"/>
      <c r="G85" s="90"/>
      <c r="H85" s="90"/>
      <c r="I85" s="90"/>
      <c r="J85" s="90"/>
      <c r="K85" s="91">
        <v>0</v>
      </c>
      <c r="L85" s="92"/>
    </row>
    <row r="86" spans="1:12" ht="20.100000000000001" customHeight="1" x14ac:dyDescent="0.25">
      <c r="A86" s="88"/>
      <c r="B86" s="89" t="s">
        <v>356</v>
      </c>
      <c r="C86" s="90"/>
      <c r="D86" s="90"/>
      <c r="E86" s="90"/>
      <c r="F86" s="90"/>
      <c r="G86" s="90"/>
      <c r="H86" s="90"/>
      <c r="I86" s="90"/>
      <c r="J86" s="90"/>
      <c r="K86" s="91">
        <v>0</v>
      </c>
      <c r="L86" s="92"/>
    </row>
    <row r="87" spans="1:12" ht="20.100000000000001" customHeight="1" x14ac:dyDescent="0.25">
      <c r="A87" s="100"/>
      <c r="B87" s="89" t="s">
        <v>357</v>
      </c>
      <c r="C87" s="101"/>
      <c r="D87" s="101"/>
      <c r="E87" s="101"/>
      <c r="F87" s="101"/>
      <c r="G87" s="101"/>
      <c r="H87" s="101"/>
      <c r="I87" s="101"/>
      <c r="J87" s="101"/>
      <c r="K87" s="91">
        <v>0</v>
      </c>
      <c r="L87" s="92"/>
    </row>
    <row r="89" spans="1:12" x14ac:dyDescent="0.25">
      <c r="C89" s="102"/>
      <c r="D89" s="102"/>
      <c r="E89" s="102"/>
    </row>
    <row r="90" spans="1:12" x14ac:dyDescent="0.25">
      <c r="B90" s="103" t="s">
        <v>524</v>
      </c>
    </row>
  </sheetData>
  <mergeCells count="3">
    <mergeCell ref="A4:A5"/>
    <mergeCell ref="B4:B5"/>
    <mergeCell ref="K4:K5"/>
  </mergeCells>
  <conditionalFormatting sqref="K7 K17 K33:K34 K51 K66 K73">
    <cfRule type="cellIs" dxfId="0" priority="1" operator="greaterThan">
      <formula>#REF!</formula>
    </cfRule>
  </conditionalFormatting>
  <dataValidations count="1">
    <dataValidation type="whole" operator="notEqual" allowBlank="1" showErrorMessage="1" error="Введите как целое число." sqref="C18:J32 C8:J10 C52:J65 C67:J71 C7:K7 C17:K17 C33:K34 C51:K51 C66:K66 C6:J6 C12:J16 C35:J50" xr:uid="{646276EB-0ECB-4403-BFF2-DD689016E3B7}">
      <formula1>-1E+28</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3E917-7017-42C0-A7E1-7A0D4508D4D6}">
  <dimension ref="A2:L62"/>
  <sheetViews>
    <sheetView topLeftCell="A28" zoomScale="55" zoomScaleNormal="55" workbookViewId="0">
      <selection activeCell="K12" sqref="K12"/>
    </sheetView>
  </sheetViews>
  <sheetFormatPr defaultColWidth="9" defaultRowHeight="12.75" x14ac:dyDescent="0.2"/>
  <cols>
    <col min="1" max="1" width="8.7109375" style="131" customWidth="1"/>
    <col min="2" max="2" width="122" style="113" customWidth="1"/>
    <col min="3" max="11" width="26" style="113" customWidth="1"/>
    <col min="12" max="12" width="19.85546875" style="113" customWidth="1"/>
    <col min="13" max="16384" width="9" style="113"/>
  </cols>
  <sheetData>
    <row r="2" spans="1:12" s="109" customFormat="1" ht="30" customHeight="1" x14ac:dyDescent="0.25">
      <c r="A2" s="77" t="s">
        <v>358</v>
      </c>
      <c r="B2" s="104"/>
      <c r="C2" s="105"/>
      <c r="D2" s="106"/>
      <c r="E2" s="106"/>
      <c r="F2" s="106"/>
      <c r="G2" s="106"/>
      <c r="H2" s="106"/>
      <c r="I2" s="107"/>
      <c r="J2" s="107"/>
      <c r="K2" s="108" t="s">
        <v>359</v>
      </c>
    </row>
    <row r="3" spans="1:12" s="57" customFormat="1" ht="23.25" customHeight="1" x14ac:dyDescent="0.3">
      <c r="A3" s="110"/>
      <c r="B3" s="81" t="str">
        <f>+'[1]Liquidity Ratios'!B3</f>
        <v>TAYANCH MIKROMOLIYA BANKI</v>
      </c>
      <c r="C3" s="55"/>
      <c r="D3" s="55"/>
      <c r="E3" s="55"/>
      <c r="F3" s="55"/>
      <c r="G3" s="55"/>
      <c r="H3" s="55"/>
      <c r="I3" s="55"/>
      <c r="J3" s="55"/>
      <c r="K3" s="111" t="s">
        <v>215</v>
      </c>
    </row>
    <row r="4" spans="1:12" s="112" customFormat="1" ht="32.25" customHeight="1" x14ac:dyDescent="0.25">
      <c r="A4" s="172" t="s">
        <v>5</v>
      </c>
      <c r="B4" s="172" t="s">
        <v>130</v>
      </c>
      <c r="C4" s="172"/>
      <c r="D4" s="172"/>
      <c r="E4" s="172"/>
      <c r="F4" s="172"/>
      <c r="G4" s="172"/>
      <c r="H4" s="172"/>
      <c r="I4" s="172"/>
      <c r="J4" s="172"/>
      <c r="K4" s="169" t="s">
        <v>131</v>
      </c>
    </row>
    <row r="5" spans="1:12" ht="25.5" customHeight="1" x14ac:dyDescent="0.2">
      <c r="A5" s="172"/>
      <c r="B5" s="172"/>
      <c r="C5" s="84" t="s">
        <v>216</v>
      </c>
      <c r="D5" s="84" t="s">
        <v>217</v>
      </c>
      <c r="E5" s="84" t="s">
        <v>218</v>
      </c>
      <c r="F5" s="84" t="s">
        <v>219</v>
      </c>
      <c r="G5" s="84" t="s">
        <v>220</v>
      </c>
      <c r="H5" s="84" t="s">
        <v>221</v>
      </c>
      <c r="I5" s="84" t="s">
        <v>222</v>
      </c>
      <c r="J5" s="84" t="s">
        <v>223</v>
      </c>
      <c r="K5" s="173"/>
    </row>
    <row r="6" spans="1:12" s="114" customFormat="1" ht="126.75" customHeight="1" x14ac:dyDescent="0.25">
      <c r="A6" s="172"/>
      <c r="B6" s="172"/>
      <c r="C6" s="87" t="s">
        <v>224</v>
      </c>
      <c r="D6" s="87" t="s">
        <v>224</v>
      </c>
      <c r="E6" s="87" t="s">
        <v>224</v>
      </c>
      <c r="F6" s="87" t="s">
        <v>224</v>
      </c>
      <c r="G6" s="87" t="s">
        <v>224</v>
      </c>
      <c r="H6" s="87" t="s">
        <v>224</v>
      </c>
      <c r="I6" s="87" t="s">
        <v>224</v>
      </c>
      <c r="J6" s="87" t="s">
        <v>224</v>
      </c>
      <c r="K6" s="170"/>
    </row>
    <row r="7" spans="1:12" s="114" customFormat="1" ht="23.1" customHeight="1" x14ac:dyDescent="0.25">
      <c r="A7" s="115" t="s">
        <v>225</v>
      </c>
      <c r="B7" s="116" t="s">
        <v>360</v>
      </c>
      <c r="C7" s="117">
        <v>5438679</v>
      </c>
      <c r="D7" s="117">
        <v>0</v>
      </c>
      <c r="E7" s="117">
        <v>0</v>
      </c>
      <c r="F7" s="117">
        <v>0</v>
      </c>
      <c r="G7" s="117">
        <v>0</v>
      </c>
      <c r="H7" s="117">
        <v>45000000</v>
      </c>
      <c r="I7" s="117">
        <v>8100000</v>
      </c>
      <c r="J7" s="117">
        <v>0</v>
      </c>
      <c r="K7" s="117">
        <v>58538679</v>
      </c>
      <c r="L7" s="118"/>
    </row>
    <row r="8" spans="1:12" s="114" customFormat="1" ht="23.1" customHeight="1" x14ac:dyDescent="0.25">
      <c r="A8" s="115" t="s">
        <v>361</v>
      </c>
      <c r="B8" s="119" t="s">
        <v>362</v>
      </c>
      <c r="C8" s="117">
        <v>5438679</v>
      </c>
      <c r="D8" s="117">
        <v>0</v>
      </c>
      <c r="E8" s="117">
        <v>0</v>
      </c>
      <c r="F8" s="117">
        <v>0</v>
      </c>
      <c r="G8" s="117">
        <v>0</v>
      </c>
      <c r="H8" s="117">
        <v>0</v>
      </c>
      <c r="I8" s="117">
        <v>0</v>
      </c>
      <c r="J8" s="117">
        <v>0</v>
      </c>
      <c r="K8" s="117">
        <v>5438679</v>
      </c>
      <c r="L8" s="118"/>
    </row>
    <row r="9" spans="1:12" s="114" customFormat="1" ht="23.1" customHeight="1" x14ac:dyDescent="0.25">
      <c r="A9" s="115" t="s">
        <v>363</v>
      </c>
      <c r="B9" s="119" t="s">
        <v>364</v>
      </c>
      <c r="C9" s="117">
        <v>5</v>
      </c>
      <c r="D9" s="117">
        <v>0</v>
      </c>
      <c r="E9" s="117">
        <v>0</v>
      </c>
      <c r="F9" s="117">
        <v>0</v>
      </c>
      <c r="G9" s="117">
        <v>0</v>
      </c>
      <c r="H9" s="117">
        <v>0</v>
      </c>
      <c r="I9" s="117">
        <v>0</v>
      </c>
      <c r="J9" s="117">
        <v>0</v>
      </c>
      <c r="K9" s="117">
        <v>5</v>
      </c>
      <c r="L9" s="118"/>
    </row>
    <row r="10" spans="1:12" s="114" customFormat="1" ht="15" x14ac:dyDescent="0.25">
      <c r="A10" s="120" t="s">
        <v>365</v>
      </c>
      <c r="B10" s="121" t="s">
        <v>366</v>
      </c>
      <c r="C10" s="122"/>
      <c r="D10" s="122"/>
      <c r="E10" s="122"/>
      <c r="F10" s="122"/>
      <c r="G10" s="122"/>
      <c r="H10" s="122"/>
      <c r="I10" s="122"/>
      <c r="J10" s="122"/>
      <c r="K10" s="123">
        <v>0</v>
      </c>
      <c r="L10" s="118"/>
    </row>
    <row r="11" spans="1:12" s="114" customFormat="1" ht="23.1" customHeight="1" x14ac:dyDescent="0.25">
      <c r="A11" s="120" t="s">
        <v>367</v>
      </c>
      <c r="B11" s="124" t="s">
        <v>368</v>
      </c>
      <c r="C11" s="122">
        <v>5</v>
      </c>
      <c r="D11" s="122"/>
      <c r="E11" s="122"/>
      <c r="F11" s="122"/>
      <c r="G11" s="122"/>
      <c r="H11" s="122"/>
      <c r="I11" s="122"/>
      <c r="J11" s="122"/>
      <c r="K11" s="123">
        <v>5</v>
      </c>
      <c r="L11" s="118"/>
    </row>
    <row r="12" spans="1:12" s="114" customFormat="1" ht="21.95" customHeight="1" x14ac:dyDescent="0.25">
      <c r="A12" s="115" t="s">
        <v>369</v>
      </c>
      <c r="B12" s="119" t="s">
        <v>370</v>
      </c>
      <c r="C12" s="117">
        <v>5438674</v>
      </c>
      <c r="D12" s="117">
        <v>0</v>
      </c>
      <c r="E12" s="117">
        <v>0</v>
      </c>
      <c r="F12" s="117">
        <v>0</v>
      </c>
      <c r="G12" s="117">
        <v>0</v>
      </c>
      <c r="H12" s="117">
        <v>0</v>
      </c>
      <c r="I12" s="117">
        <v>0</v>
      </c>
      <c r="J12" s="117">
        <v>0</v>
      </c>
      <c r="K12" s="117">
        <v>5438674</v>
      </c>
      <c r="L12" s="118"/>
    </row>
    <row r="13" spans="1:12" s="114" customFormat="1" ht="36" customHeight="1" x14ac:dyDescent="0.25">
      <c r="A13" s="120" t="s">
        <v>371</v>
      </c>
      <c r="B13" s="124" t="s">
        <v>372</v>
      </c>
      <c r="C13" s="122">
        <v>967884</v>
      </c>
      <c r="D13" s="122"/>
      <c r="E13" s="122"/>
      <c r="F13" s="122"/>
      <c r="G13" s="122"/>
      <c r="H13" s="122"/>
      <c r="I13" s="122"/>
      <c r="J13" s="122"/>
      <c r="K13" s="117">
        <v>967884</v>
      </c>
      <c r="L13" s="118"/>
    </row>
    <row r="14" spans="1:12" s="114" customFormat="1" ht="15" x14ac:dyDescent="0.25">
      <c r="A14" s="120" t="s">
        <v>373</v>
      </c>
      <c r="B14" s="121" t="s">
        <v>374</v>
      </c>
      <c r="C14" s="122"/>
      <c r="D14" s="122"/>
      <c r="E14" s="122"/>
      <c r="F14" s="122"/>
      <c r="G14" s="122"/>
      <c r="H14" s="122"/>
      <c r="I14" s="122"/>
      <c r="J14" s="122"/>
      <c r="K14" s="123">
        <v>0</v>
      </c>
      <c r="L14" s="118"/>
    </row>
    <row r="15" spans="1:12" s="114" customFormat="1" ht="23.25" customHeight="1" x14ac:dyDescent="0.25">
      <c r="A15" s="120" t="s">
        <v>375</v>
      </c>
      <c r="B15" s="124" t="s">
        <v>376</v>
      </c>
      <c r="C15" s="122"/>
      <c r="D15" s="122"/>
      <c r="E15" s="122"/>
      <c r="F15" s="122"/>
      <c r="G15" s="122"/>
      <c r="H15" s="122"/>
      <c r="I15" s="122"/>
      <c r="J15" s="122"/>
      <c r="K15" s="123">
        <v>0</v>
      </c>
      <c r="L15" s="118"/>
    </row>
    <row r="16" spans="1:12" s="114" customFormat="1" ht="33" customHeight="1" x14ac:dyDescent="0.25">
      <c r="A16" s="120" t="s">
        <v>377</v>
      </c>
      <c r="B16" s="124" t="s">
        <v>378</v>
      </c>
      <c r="C16" s="122"/>
      <c r="D16" s="122"/>
      <c r="E16" s="122"/>
      <c r="F16" s="122"/>
      <c r="G16" s="122"/>
      <c r="H16" s="122"/>
      <c r="I16" s="122"/>
      <c r="J16" s="122"/>
      <c r="K16" s="123">
        <v>0</v>
      </c>
      <c r="L16" s="118"/>
    </row>
    <row r="17" spans="1:12" s="114" customFormat="1" ht="33" customHeight="1" x14ac:dyDescent="0.25">
      <c r="A17" s="120" t="s">
        <v>379</v>
      </c>
      <c r="B17" s="124" t="s">
        <v>380</v>
      </c>
      <c r="C17" s="122"/>
      <c r="D17" s="122"/>
      <c r="E17" s="122"/>
      <c r="F17" s="122"/>
      <c r="G17" s="122"/>
      <c r="H17" s="122"/>
      <c r="I17" s="122"/>
      <c r="J17" s="122"/>
      <c r="K17" s="123">
        <v>0</v>
      </c>
      <c r="L17" s="118"/>
    </row>
    <row r="18" spans="1:12" s="114" customFormat="1" ht="15" x14ac:dyDescent="0.25">
      <c r="A18" s="120" t="s">
        <v>381</v>
      </c>
      <c r="B18" s="124" t="s">
        <v>382</v>
      </c>
      <c r="C18" s="122">
        <v>4470790</v>
      </c>
      <c r="D18" s="122"/>
      <c r="E18" s="122"/>
      <c r="F18" s="122"/>
      <c r="G18" s="122"/>
      <c r="H18" s="122"/>
      <c r="I18" s="122"/>
      <c r="J18" s="122"/>
      <c r="K18" s="123">
        <v>4470790</v>
      </c>
      <c r="L18" s="118"/>
    </row>
    <row r="19" spans="1:12" s="114" customFormat="1" ht="15" x14ac:dyDescent="0.25">
      <c r="A19" s="120" t="s">
        <v>383</v>
      </c>
      <c r="B19" s="124" t="s">
        <v>384</v>
      </c>
      <c r="C19" s="122"/>
      <c r="D19" s="122"/>
      <c r="E19" s="122"/>
      <c r="F19" s="122"/>
      <c r="G19" s="122"/>
      <c r="H19" s="122"/>
      <c r="I19" s="122"/>
      <c r="J19" s="122"/>
      <c r="K19" s="123">
        <v>0</v>
      </c>
      <c r="L19" s="118"/>
    </row>
    <row r="20" spans="1:12" s="114" customFormat="1" ht="23.1" customHeight="1" x14ac:dyDescent="0.25">
      <c r="A20" s="115" t="s">
        <v>385</v>
      </c>
      <c r="B20" s="119" t="s">
        <v>386</v>
      </c>
      <c r="C20" s="117">
        <v>0</v>
      </c>
      <c r="D20" s="117">
        <v>0</v>
      </c>
      <c r="E20" s="117">
        <v>0</v>
      </c>
      <c r="F20" s="117">
        <v>0</v>
      </c>
      <c r="G20" s="117">
        <v>0</v>
      </c>
      <c r="H20" s="117">
        <v>45000000</v>
      </c>
      <c r="I20" s="117">
        <v>8100000</v>
      </c>
      <c r="J20" s="117">
        <v>0</v>
      </c>
      <c r="K20" s="117">
        <v>53100000</v>
      </c>
      <c r="L20" s="118"/>
    </row>
    <row r="21" spans="1:12" s="114" customFormat="1" ht="23.1" customHeight="1" x14ac:dyDescent="0.25">
      <c r="A21" s="115" t="s">
        <v>387</v>
      </c>
      <c r="B21" s="119" t="s">
        <v>388</v>
      </c>
      <c r="C21" s="117">
        <v>0</v>
      </c>
      <c r="D21" s="117">
        <v>0</v>
      </c>
      <c r="E21" s="117">
        <v>0</v>
      </c>
      <c r="F21" s="117">
        <v>0</v>
      </c>
      <c r="G21" s="117">
        <v>0</v>
      </c>
      <c r="H21" s="117">
        <v>0</v>
      </c>
      <c r="I21" s="117">
        <v>0</v>
      </c>
      <c r="J21" s="117">
        <v>0</v>
      </c>
      <c r="K21" s="117">
        <v>0</v>
      </c>
      <c r="L21" s="118"/>
    </row>
    <row r="22" spans="1:12" s="114" customFormat="1" ht="32.25" customHeight="1" x14ac:dyDescent="0.25">
      <c r="A22" s="120" t="s">
        <v>389</v>
      </c>
      <c r="B22" s="124" t="s">
        <v>390</v>
      </c>
      <c r="C22" s="122"/>
      <c r="D22" s="122"/>
      <c r="E22" s="122"/>
      <c r="F22" s="122"/>
      <c r="G22" s="122"/>
      <c r="H22" s="122"/>
      <c r="I22" s="122"/>
      <c r="J22" s="122"/>
      <c r="K22" s="123">
        <v>0</v>
      </c>
      <c r="L22" s="118"/>
    </row>
    <row r="23" spans="1:12" s="114" customFormat="1" ht="32.25" customHeight="1" x14ac:dyDescent="0.25">
      <c r="A23" s="120" t="s">
        <v>391</v>
      </c>
      <c r="B23" s="124" t="s">
        <v>392</v>
      </c>
      <c r="C23" s="122"/>
      <c r="D23" s="122"/>
      <c r="E23" s="122"/>
      <c r="F23" s="122"/>
      <c r="G23" s="122"/>
      <c r="H23" s="122"/>
      <c r="I23" s="122"/>
      <c r="J23" s="122"/>
      <c r="K23" s="123">
        <v>0</v>
      </c>
      <c r="L23" s="118"/>
    </row>
    <row r="24" spans="1:12" s="114" customFormat="1" ht="23.1" customHeight="1" x14ac:dyDescent="0.25">
      <c r="A24" s="115" t="s">
        <v>393</v>
      </c>
      <c r="B24" s="125" t="s">
        <v>394</v>
      </c>
      <c r="C24" s="117">
        <v>0</v>
      </c>
      <c r="D24" s="117">
        <v>0</v>
      </c>
      <c r="E24" s="117">
        <v>0</v>
      </c>
      <c r="F24" s="117">
        <v>0</v>
      </c>
      <c r="G24" s="117">
        <v>0</v>
      </c>
      <c r="H24" s="117">
        <v>45000000</v>
      </c>
      <c r="I24" s="117">
        <v>8100000</v>
      </c>
      <c r="J24" s="117">
        <v>0</v>
      </c>
      <c r="K24" s="117">
        <v>53100000</v>
      </c>
      <c r="L24" s="118"/>
    </row>
    <row r="25" spans="1:12" s="114" customFormat="1" ht="36" customHeight="1" x14ac:dyDescent="0.25">
      <c r="A25" s="120" t="s">
        <v>395</v>
      </c>
      <c r="B25" s="124" t="s">
        <v>396</v>
      </c>
      <c r="C25" s="122"/>
      <c r="D25" s="122"/>
      <c r="E25" s="122"/>
      <c r="F25" s="122"/>
      <c r="G25" s="122"/>
      <c r="H25" s="122">
        <v>35000000</v>
      </c>
      <c r="I25" s="122">
        <v>8100000</v>
      </c>
      <c r="J25" s="122"/>
      <c r="K25" s="117">
        <v>43100000</v>
      </c>
      <c r="L25" s="118"/>
    </row>
    <row r="26" spans="1:12" s="114" customFormat="1" ht="23.1" customHeight="1" x14ac:dyDescent="0.25">
      <c r="A26" s="120" t="s">
        <v>397</v>
      </c>
      <c r="B26" s="124" t="s">
        <v>398</v>
      </c>
      <c r="C26" s="122"/>
      <c r="D26" s="122"/>
      <c r="E26" s="122"/>
      <c r="F26" s="122"/>
      <c r="G26" s="122"/>
      <c r="H26" s="122"/>
      <c r="I26" s="122"/>
      <c r="J26" s="122"/>
      <c r="K26" s="123">
        <v>0</v>
      </c>
      <c r="L26" s="118"/>
    </row>
    <row r="27" spans="1:12" s="114" customFormat="1" ht="23.1" customHeight="1" x14ac:dyDescent="0.25">
      <c r="A27" s="120" t="s">
        <v>399</v>
      </c>
      <c r="B27" s="124" t="s">
        <v>400</v>
      </c>
      <c r="C27" s="122"/>
      <c r="D27" s="122"/>
      <c r="E27" s="122"/>
      <c r="F27" s="122"/>
      <c r="G27" s="122"/>
      <c r="H27" s="122">
        <v>5000000</v>
      </c>
      <c r="I27" s="122"/>
      <c r="J27" s="122"/>
      <c r="K27" s="123">
        <v>5000000</v>
      </c>
      <c r="L27" s="118"/>
    </row>
    <row r="28" spans="1:12" s="114" customFormat="1" ht="23.1" customHeight="1" x14ac:dyDescent="0.25">
      <c r="A28" s="120" t="s">
        <v>401</v>
      </c>
      <c r="B28" s="124" t="s">
        <v>402</v>
      </c>
      <c r="C28" s="122"/>
      <c r="D28" s="122"/>
      <c r="E28" s="122"/>
      <c r="F28" s="122"/>
      <c r="G28" s="122"/>
      <c r="H28" s="122"/>
      <c r="I28" s="122"/>
      <c r="J28" s="122"/>
      <c r="K28" s="123">
        <v>0</v>
      </c>
      <c r="L28" s="118"/>
    </row>
    <row r="29" spans="1:12" s="114" customFormat="1" ht="23.1" customHeight="1" x14ac:dyDescent="0.25">
      <c r="A29" s="120" t="s">
        <v>403</v>
      </c>
      <c r="B29" s="124" t="s">
        <v>404</v>
      </c>
      <c r="C29" s="122"/>
      <c r="D29" s="122"/>
      <c r="E29" s="122"/>
      <c r="F29" s="122"/>
      <c r="G29" s="122"/>
      <c r="H29" s="122">
        <v>5000000</v>
      </c>
      <c r="I29" s="122"/>
      <c r="J29" s="122"/>
      <c r="K29" s="123">
        <v>5000000</v>
      </c>
      <c r="L29" s="118"/>
    </row>
    <row r="30" spans="1:12" s="114" customFormat="1" ht="23.1" customHeight="1" x14ac:dyDescent="0.25">
      <c r="A30" s="120" t="s">
        <v>405</v>
      </c>
      <c r="B30" s="124" t="s">
        <v>406</v>
      </c>
      <c r="C30" s="122"/>
      <c r="D30" s="122"/>
      <c r="E30" s="122"/>
      <c r="F30" s="122"/>
      <c r="G30" s="122"/>
      <c r="H30" s="122"/>
      <c r="I30" s="122"/>
      <c r="J30" s="122"/>
      <c r="K30" s="123">
        <v>0</v>
      </c>
      <c r="L30" s="118"/>
    </row>
    <row r="31" spans="1:12" s="114" customFormat="1" ht="23.1" customHeight="1" x14ac:dyDescent="0.25">
      <c r="A31" s="120" t="s">
        <v>407</v>
      </c>
      <c r="B31" s="124" t="s">
        <v>408</v>
      </c>
      <c r="C31" s="122"/>
      <c r="D31" s="122"/>
      <c r="E31" s="122"/>
      <c r="F31" s="122"/>
      <c r="G31" s="122"/>
      <c r="H31" s="122"/>
      <c r="I31" s="122"/>
      <c r="J31" s="122"/>
      <c r="K31" s="123">
        <v>0</v>
      </c>
      <c r="L31" s="118"/>
    </row>
    <row r="32" spans="1:12" s="114" customFormat="1" ht="23.1" customHeight="1" x14ac:dyDescent="0.25">
      <c r="A32" s="120" t="s">
        <v>409</v>
      </c>
      <c r="B32" s="124" t="s">
        <v>410</v>
      </c>
      <c r="C32" s="122"/>
      <c r="D32" s="122"/>
      <c r="E32" s="122"/>
      <c r="F32" s="122"/>
      <c r="G32" s="122"/>
      <c r="H32" s="122"/>
      <c r="I32" s="122"/>
      <c r="J32" s="122"/>
      <c r="K32" s="123">
        <v>0</v>
      </c>
      <c r="L32" s="118"/>
    </row>
    <row r="33" spans="1:12" s="114" customFormat="1" ht="23.1" customHeight="1" x14ac:dyDescent="0.25">
      <c r="A33" s="115" t="s">
        <v>411</v>
      </c>
      <c r="B33" s="125" t="s">
        <v>412</v>
      </c>
      <c r="C33" s="122"/>
      <c r="D33" s="122"/>
      <c r="E33" s="122"/>
      <c r="F33" s="122"/>
      <c r="G33" s="122"/>
      <c r="H33" s="122"/>
      <c r="I33" s="122"/>
      <c r="J33" s="122"/>
      <c r="K33" s="123">
        <v>0</v>
      </c>
      <c r="L33" s="118"/>
    </row>
    <row r="34" spans="1:12" s="114" customFormat="1" ht="23.1" customHeight="1" x14ac:dyDescent="0.25">
      <c r="A34" s="115" t="s">
        <v>227</v>
      </c>
      <c r="B34" s="125" t="s">
        <v>413</v>
      </c>
      <c r="C34" s="122">
        <v>810</v>
      </c>
      <c r="D34" s="122"/>
      <c r="E34" s="122"/>
      <c r="F34" s="122"/>
      <c r="G34" s="122"/>
      <c r="H34" s="122"/>
      <c r="I34" s="122"/>
      <c r="J34" s="122"/>
      <c r="K34" s="123">
        <v>810</v>
      </c>
      <c r="L34" s="118"/>
    </row>
    <row r="35" spans="1:12" s="114" customFormat="1" ht="23.1" customHeight="1" x14ac:dyDescent="0.25">
      <c r="A35" s="115" t="s">
        <v>235</v>
      </c>
      <c r="B35" s="125" t="s">
        <v>414</v>
      </c>
      <c r="C35" s="117">
        <v>0</v>
      </c>
      <c r="D35" s="117">
        <v>0</v>
      </c>
      <c r="E35" s="117">
        <v>0</v>
      </c>
      <c r="F35" s="117">
        <v>0</v>
      </c>
      <c r="G35" s="117">
        <v>0</v>
      </c>
      <c r="H35" s="117">
        <v>0</v>
      </c>
      <c r="I35" s="117">
        <v>2000000</v>
      </c>
      <c r="J35" s="117">
        <v>0</v>
      </c>
      <c r="K35" s="117">
        <v>2000000</v>
      </c>
      <c r="L35" s="118"/>
    </row>
    <row r="36" spans="1:12" s="114" customFormat="1" ht="23.1" customHeight="1" x14ac:dyDescent="0.25">
      <c r="A36" s="120" t="s">
        <v>13</v>
      </c>
      <c r="B36" s="126" t="s">
        <v>415</v>
      </c>
      <c r="C36" s="122"/>
      <c r="D36" s="122"/>
      <c r="E36" s="122"/>
      <c r="F36" s="122"/>
      <c r="G36" s="122"/>
      <c r="H36" s="122"/>
      <c r="I36" s="122">
        <v>2000000</v>
      </c>
      <c r="J36" s="122"/>
      <c r="K36" s="123">
        <v>2000000</v>
      </c>
      <c r="L36" s="118"/>
    </row>
    <row r="37" spans="1:12" s="114" customFormat="1" ht="23.1" customHeight="1" x14ac:dyDescent="0.25">
      <c r="A37" s="120" t="s">
        <v>15</v>
      </c>
      <c r="B37" s="126" t="s">
        <v>416</v>
      </c>
      <c r="C37" s="122"/>
      <c r="D37" s="122"/>
      <c r="E37" s="122"/>
      <c r="F37" s="122"/>
      <c r="G37" s="122"/>
      <c r="H37" s="122"/>
      <c r="I37" s="122"/>
      <c r="J37" s="122"/>
      <c r="K37" s="123">
        <v>0</v>
      </c>
      <c r="L37" s="118"/>
    </row>
    <row r="38" spans="1:12" s="114" customFormat="1" ht="23.1" customHeight="1" x14ac:dyDescent="0.25">
      <c r="A38" s="115" t="s">
        <v>247</v>
      </c>
      <c r="B38" s="125" t="s">
        <v>277</v>
      </c>
      <c r="C38" s="117">
        <v>0</v>
      </c>
      <c r="D38" s="117">
        <v>0</v>
      </c>
      <c r="E38" s="117">
        <v>0</v>
      </c>
      <c r="F38" s="117">
        <v>0</v>
      </c>
      <c r="G38" s="117">
        <v>0</v>
      </c>
      <c r="H38" s="117">
        <v>0</v>
      </c>
      <c r="I38" s="117">
        <v>0</v>
      </c>
      <c r="J38" s="117">
        <v>0</v>
      </c>
      <c r="K38" s="117">
        <v>0</v>
      </c>
      <c r="L38" s="118"/>
    </row>
    <row r="39" spans="1:12" s="114" customFormat="1" ht="23.1" customHeight="1" x14ac:dyDescent="0.25">
      <c r="A39" s="120" t="s">
        <v>18</v>
      </c>
      <c r="B39" s="126" t="s">
        <v>417</v>
      </c>
      <c r="C39" s="122"/>
      <c r="D39" s="122"/>
      <c r="E39" s="122"/>
      <c r="F39" s="122"/>
      <c r="G39" s="122"/>
      <c r="H39" s="122"/>
      <c r="I39" s="122"/>
      <c r="J39" s="122"/>
      <c r="K39" s="123">
        <v>0</v>
      </c>
      <c r="L39" s="118"/>
    </row>
    <row r="40" spans="1:12" s="114" customFormat="1" ht="23.1" customHeight="1" x14ac:dyDescent="0.25">
      <c r="A40" s="120" t="s">
        <v>20</v>
      </c>
      <c r="B40" s="126" t="s">
        <v>418</v>
      </c>
      <c r="C40" s="122"/>
      <c r="D40" s="122"/>
      <c r="E40" s="122"/>
      <c r="F40" s="122"/>
      <c r="G40" s="122"/>
      <c r="H40" s="122"/>
      <c r="I40" s="122"/>
      <c r="J40" s="122"/>
      <c r="K40" s="123">
        <v>0</v>
      </c>
      <c r="L40" s="118"/>
    </row>
    <row r="41" spans="1:12" s="114" customFormat="1" ht="23.1" customHeight="1" x14ac:dyDescent="0.25">
      <c r="A41" s="120" t="s">
        <v>22</v>
      </c>
      <c r="B41" s="126" t="s">
        <v>419</v>
      </c>
      <c r="C41" s="122"/>
      <c r="D41" s="122"/>
      <c r="E41" s="122"/>
      <c r="F41" s="122"/>
      <c r="G41" s="122"/>
      <c r="H41" s="122"/>
      <c r="I41" s="122"/>
      <c r="J41" s="122"/>
      <c r="K41" s="123">
        <v>0</v>
      </c>
      <c r="L41" s="118"/>
    </row>
    <row r="42" spans="1:12" s="114" customFormat="1" ht="23.1" customHeight="1" x14ac:dyDescent="0.25">
      <c r="A42" s="120" t="s">
        <v>252</v>
      </c>
      <c r="B42" s="126" t="s">
        <v>420</v>
      </c>
      <c r="C42" s="122"/>
      <c r="D42" s="122"/>
      <c r="E42" s="122"/>
      <c r="F42" s="122"/>
      <c r="G42" s="122"/>
      <c r="H42" s="122"/>
      <c r="I42" s="122"/>
      <c r="J42" s="122"/>
      <c r="K42" s="123">
        <v>0</v>
      </c>
      <c r="L42" s="118"/>
    </row>
    <row r="43" spans="1:12" s="114" customFormat="1" ht="23.1" customHeight="1" x14ac:dyDescent="0.25">
      <c r="A43" s="120" t="s">
        <v>254</v>
      </c>
      <c r="B43" s="126" t="s">
        <v>421</v>
      </c>
      <c r="C43" s="122"/>
      <c r="D43" s="122"/>
      <c r="E43" s="122"/>
      <c r="F43" s="122"/>
      <c r="G43" s="122"/>
      <c r="H43" s="122"/>
      <c r="I43" s="122"/>
      <c r="J43" s="122"/>
      <c r="K43" s="123">
        <v>0</v>
      </c>
      <c r="L43" s="118"/>
    </row>
    <row r="44" spans="1:12" s="114" customFormat="1" ht="23.1" customHeight="1" x14ac:dyDescent="0.25">
      <c r="A44" s="120" t="s">
        <v>256</v>
      </c>
      <c r="B44" s="126" t="s">
        <v>422</v>
      </c>
      <c r="C44" s="122"/>
      <c r="D44" s="122"/>
      <c r="E44" s="122"/>
      <c r="F44" s="122"/>
      <c r="G44" s="122"/>
      <c r="H44" s="122"/>
      <c r="I44" s="122"/>
      <c r="J44" s="122"/>
      <c r="K44" s="123">
        <v>0</v>
      </c>
      <c r="L44" s="118"/>
    </row>
    <row r="45" spans="1:12" s="114" customFormat="1" ht="23.1" customHeight="1" x14ac:dyDescent="0.25">
      <c r="A45" s="115" t="s">
        <v>274</v>
      </c>
      <c r="B45" s="126" t="s">
        <v>423</v>
      </c>
      <c r="C45" s="122"/>
      <c r="D45" s="122"/>
      <c r="E45" s="122"/>
      <c r="F45" s="122"/>
      <c r="G45" s="122"/>
      <c r="H45" s="122"/>
      <c r="I45" s="122"/>
      <c r="J45" s="122"/>
      <c r="K45" s="123">
        <v>0</v>
      </c>
      <c r="L45" s="118"/>
    </row>
    <row r="46" spans="1:12" s="114" customFormat="1" ht="23.1" customHeight="1" x14ac:dyDescent="0.25">
      <c r="A46" s="115" t="s">
        <v>276</v>
      </c>
      <c r="B46" s="126" t="s">
        <v>424</v>
      </c>
      <c r="C46" s="122"/>
      <c r="D46" s="122"/>
      <c r="E46" s="122"/>
      <c r="F46" s="122"/>
      <c r="G46" s="122"/>
      <c r="H46" s="122"/>
      <c r="I46" s="122"/>
      <c r="J46" s="122"/>
      <c r="K46" s="123">
        <v>0</v>
      </c>
      <c r="L46" s="118"/>
    </row>
    <row r="47" spans="1:12" s="114" customFormat="1" ht="23.1" customHeight="1" x14ac:dyDescent="0.25">
      <c r="A47" s="115" t="s">
        <v>302</v>
      </c>
      <c r="B47" s="126" t="s">
        <v>425</v>
      </c>
      <c r="C47" s="117">
        <v>0</v>
      </c>
      <c r="D47" s="117">
        <v>0</v>
      </c>
      <c r="E47" s="117">
        <v>199605</v>
      </c>
      <c r="F47" s="117">
        <v>0</v>
      </c>
      <c r="G47" s="117">
        <v>0</v>
      </c>
      <c r="H47" s="117">
        <v>0</v>
      </c>
      <c r="I47" s="117">
        <v>0</v>
      </c>
      <c r="J47" s="117">
        <v>0</v>
      </c>
      <c r="K47" s="117">
        <v>199605</v>
      </c>
      <c r="L47" s="118"/>
    </row>
    <row r="48" spans="1:12" s="114" customFormat="1" ht="23.1" customHeight="1" x14ac:dyDescent="0.25">
      <c r="A48" s="120" t="s">
        <v>33</v>
      </c>
      <c r="B48" s="126" t="s">
        <v>426</v>
      </c>
      <c r="C48" s="122"/>
      <c r="D48" s="122"/>
      <c r="E48" s="122">
        <v>199605</v>
      </c>
      <c r="F48" s="122"/>
      <c r="G48" s="122"/>
      <c r="H48" s="122"/>
      <c r="I48" s="122"/>
      <c r="J48" s="122"/>
      <c r="K48" s="123">
        <v>199605</v>
      </c>
      <c r="L48" s="118"/>
    </row>
    <row r="49" spans="1:12" s="114" customFormat="1" ht="23.1" customHeight="1" x14ac:dyDescent="0.25">
      <c r="A49" s="120" t="s">
        <v>35</v>
      </c>
      <c r="B49" s="89" t="s">
        <v>427</v>
      </c>
      <c r="C49" s="122"/>
      <c r="D49" s="122"/>
      <c r="E49" s="122"/>
      <c r="F49" s="122"/>
      <c r="G49" s="122"/>
      <c r="H49" s="122"/>
      <c r="I49" s="122"/>
      <c r="J49" s="122"/>
      <c r="K49" s="123">
        <v>0</v>
      </c>
      <c r="L49" s="118"/>
    </row>
    <row r="50" spans="1:12" s="114" customFormat="1" ht="23.1" customHeight="1" x14ac:dyDescent="0.25">
      <c r="A50" s="120" t="s">
        <v>428</v>
      </c>
      <c r="B50" s="89" t="s">
        <v>429</v>
      </c>
      <c r="C50" s="122"/>
      <c r="D50" s="122"/>
      <c r="E50" s="122"/>
      <c r="F50" s="122"/>
      <c r="G50" s="122"/>
      <c r="H50" s="122"/>
      <c r="I50" s="122"/>
      <c r="J50" s="122"/>
      <c r="K50" s="123">
        <v>0</v>
      </c>
      <c r="L50" s="118"/>
    </row>
    <row r="51" spans="1:12" s="114" customFormat="1" ht="23.1" customHeight="1" x14ac:dyDescent="0.25">
      <c r="A51" s="115" t="s">
        <v>304</v>
      </c>
      <c r="B51" s="121" t="s">
        <v>430</v>
      </c>
      <c r="C51" s="122"/>
      <c r="D51" s="122">
        <v>13792</v>
      </c>
      <c r="E51" s="122"/>
      <c r="F51" s="122"/>
      <c r="G51" s="122"/>
      <c r="H51" s="122"/>
      <c r="I51" s="122"/>
      <c r="J51" s="122"/>
      <c r="K51" s="123">
        <v>13792</v>
      </c>
      <c r="L51" s="118"/>
    </row>
    <row r="52" spans="1:12" s="114" customFormat="1" ht="30" x14ac:dyDescent="0.25">
      <c r="A52" s="115" t="s">
        <v>306</v>
      </c>
      <c r="B52" s="126" t="s">
        <v>431</v>
      </c>
      <c r="C52" s="122"/>
      <c r="D52" s="122"/>
      <c r="E52" s="122"/>
      <c r="F52" s="122"/>
      <c r="G52" s="122"/>
      <c r="H52" s="122"/>
      <c r="I52" s="122"/>
      <c r="J52" s="122"/>
      <c r="K52" s="123">
        <v>0</v>
      </c>
      <c r="L52" s="118"/>
    </row>
    <row r="53" spans="1:12" s="114" customFormat="1" ht="23.1" customHeight="1" x14ac:dyDescent="0.25">
      <c r="A53" s="115" t="s">
        <v>308</v>
      </c>
      <c r="B53" s="126" t="s">
        <v>432</v>
      </c>
      <c r="C53" s="122"/>
      <c r="D53" s="122"/>
      <c r="E53" s="122"/>
      <c r="F53" s="122"/>
      <c r="G53" s="122"/>
      <c r="H53" s="122"/>
      <c r="I53" s="122"/>
      <c r="J53" s="122"/>
      <c r="K53" s="123">
        <v>0</v>
      </c>
      <c r="L53" s="118"/>
    </row>
    <row r="54" spans="1:12" s="114" customFormat="1" ht="23.1" customHeight="1" x14ac:dyDescent="0.25">
      <c r="A54" s="115" t="s">
        <v>310</v>
      </c>
      <c r="B54" s="126" t="s">
        <v>433</v>
      </c>
      <c r="C54" s="122"/>
      <c r="D54" s="122"/>
      <c r="E54" s="122"/>
      <c r="F54" s="122"/>
      <c r="G54" s="122"/>
      <c r="H54" s="122"/>
      <c r="I54" s="122"/>
      <c r="J54" s="122"/>
      <c r="K54" s="123">
        <v>0</v>
      </c>
      <c r="L54" s="118"/>
    </row>
    <row r="55" spans="1:12" s="114" customFormat="1" ht="23.1" customHeight="1" x14ac:dyDescent="0.25">
      <c r="A55" s="115" t="s">
        <v>320</v>
      </c>
      <c r="B55" s="126" t="s">
        <v>434</v>
      </c>
      <c r="C55" s="117">
        <v>0</v>
      </c>
      <c r="D55" s="117">
        <v>0</v>
      </c>
      <c r="E55" s="117">
        <v>0</v>
      </c>
      <c r="F55" s="117">
        <v>0</v>
      </c>
      <c r="G55" s="117">
        <v>0</v>
      </c>
      <c r="H55" s="117">
        <v>0</v>
      </c>
      <c r="I55" s="117">
        <v>0</v>
      </c>
      <c r="J55" s="117">
        <v>0</v>
      </c>
      <c r="K55" s="117">
        <v>0</v>
      </c>
      <c r="L55" s="118"/>
    </row>
    <row r="56" spans="1:12" s="114" customFormat="1" ht="23.1" customHeight="1" x14ac:dyDescent="0.25">
      <c r="A56" s="120" t="s">
        <v>52</v>
      </c>
      <c r="B56" s="126" t="s">
        <v>435</v>
      </c>
      <c r="C56" s="122"/>
      <c r="D56" s="122"/>
      <c r="E56" s="122"/>
      <c r="F56" s="122"/>
      <c r="G56" s="122"/>
      <c r="H56" s="122"/>
      <c r="I56" s="122"/>
      <c r="J56" s="122"/>
      <c r="K56" s="123">
        <v>0</v>
      </c>
      <c r="L56" s="118"/>
    </row>
    <row r="57" spans="1:12" s="114" customFormat="1" ht="23.1" customHeight="1" x14ac:dyDescent="0.25">
      <c r="A57" s="120" t="s">
        <v>54</v>
      </c>
      <c r="B57" s="127" t="s">
        <v>436</v>
      </c>
      <c r="C57" s="122"/>
      <c r="D57" s="122"/>
      <c r="E57" s="122"/>
      <c r="F57" s="122"/>
      <c r="G57" s="122"/>
      <c r="H57" s="122"/>
      <c r="I57" s="122"/>
      <c r="J57" s="122"/>
      <c r="K57" s="123">
        <v>0</v>
      </c>
      <c r="L57" s="118"/>
    </row>
    <row r="58" spans="1:12" s="114" customFormat="1" ht="23.1" customHeight="1" x14ac:dyDescent="0.25">
      <c r="A58" s="120" t="s">
        <v>56</v>
      </c>
      <c r="B58" s="124" t="s">
        <v>437</v>
      </c>
      <c r="C58" s="122"/>
      <c r="D58" s="122"/>
      <c r="E58" s="122"/>
      <c r="F58" s="122"/>
      <c r="G58" s="122"/>
      <c r="H58" s="122"/>
      <c r="I58" s="122"/>
      <c r="J58" s="122"/>
      <c r="K58" s="123">
        <v>0</v>
      </c>
      <c r="L58" s="118"/>
    </row>
    <row r="59" spans="1:12" s="114" customFormat="1" ht="23.1" customHeight="1" x14ac:dyDescent="0.25">
      <c r="A59" s="120" t="s">
        <v>438</v>
      </c>
      <c r="B59" s="124" t="s">
        <v>439</v>
      </c>
      <c r="C59" s="122"/>
      <c r="D59" s="122"/>
      <c r="E59" s="122"/>
      <c r="F59" s="122"/>
      <c r="G59" s="122"/>
      <c r="H59" s="122"/>
      <c r="I59" s="122"/>
      <c r="J59" s="122"/>
      <c r="K59" s="123">
        <v>0</v>
      </c>
      <c r="L59" s="118"/>
    </row>
    <row r="60" spans="1:12" s="114" customFormat="1" ht="23.1" customHeight="1" x14ac:dyDescent="0.25">
      <c r="A60" s="115" t="s">
        <v>322</v>
      </c>
      <c r="B60" s="126" t="s">
        <v>440</v>
      </c>
      <c r="C60" s="122"/>
      <c r="D60" s="122"/>
      <c r="E60" s="122"/>
      <c r="F60" s="122"/>
      <c r="G60" s="122"/>
      <c r="H60" s="122"/>
      <c r="I60" s="122"/>
      <c r="J60" s="122"/>
      <c r="K60" s="123">
        <v>0</v>
      </c>
      <c r="L60" s="118"/>
    </row>
    <row r="61" spans="1:12" s="114" customFormat="1" ht="23.1" customHeight="1" x14ac:dyDescent="0.25">
      <c r="A61" s="115" t="s">
        <v>324</v>
      </c>
      <c r="B61" s="126" t="s">
        <v>441</v>
      </c>
      <c r="C61" s="122">
        <v>710182</v>
      </c>
      <c r="D61" s="122"/>
      <c r="E61" s="122">
        <v>48804</v>
      </c>
      <c r="F61" s="122"/>
      <c r="G61" s="122"/>
      <c r="H61" s="122"/>
      <c r="I61" s="122"/>
      <c r="J61" s="122"/>
      <c r="K61" s="123">
        <v>758986</v>
      </c>
      <c r="L61" s="118"/>
    </row>
    <row r="62" spans="1:12" s="114" customFormat="1" ht="23.1" customHeight="1" x14ac:dyDescent="0.25">
      <c r="A62" s="115"/>
      <c r="B62" s="128" t="s">
        <v>442</v>
      </c>
      <c r="C62" s="117">
        <v>6149671</v>
      </c>
      <c r="D62" s="117">
        <v>13792</v>
      </c>
      <c r="E62" s="117">
        <v>248409</v>
      </c>
      <c r="F62" s="117">
        <v>0</v>
      </c>
      <c r="G62" s="117">
        <v>0</v>
      </c>
      <c r="H62" s="117">
        <v>45000000</v>
      </c>
      <c r="I62" s="117">
        <v>10100000</v>
      </c>
      <c r="J62" s="117">
        <v>0</v>
      </c>
      <c r="K62" s="129">
        <v>61511872</v>
      </c>
      <c r="L62" s="130"/>
    </row>
  </sheetData>
  <mergeCells count="4">
    <mergeCell ref="A4:A6"/>
    <mergeCell ref="B4:B6"/>
    <mergeCell ref="C4:J4"/>
    <mergeCell ref="K4:K6"/>
  </mergeCells>
  <dataValidations count="1">
    <dataValidation allowBlank="1" showErrorMessage="1" prompt="Введите самостоятельно рассчитанный коэффициент" sqref="K4" xr:uid="{062ACC58-424E-41A4-B1CE-289937400A63}"/>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808F8-A80D-40D1-8DF5-1BC815E21691}">
  <dimension ref="A1:M36"/>
  <sheetViews>
    <sheetView workbookViewId="0">
      <selection sqref="A1:XFD1048576"/>
    </sheetView>
  </sheetViews>
  <sheetFormatPr defaultColWidth="7.85546875" defaultRowHeight="12.75" x14ac:dyDescent="0.2"/>
  <cols>
    <col min="1" max="1" width="4.42578125" style="132" customWidth="1"/>
    <col min="2" max="3" width="7.85546875" style="133"/>
    <col min="4" max="4" width="22.28515625" style="133" customWidth="1"/>
    <col min="5" max="5" width="36.85546875" style="43" customWidth="1"/>
    <col min="6" max="6" width="13.42578125" style="43" bestFit="1" customWidth="1"/>
    <col min="7" max="7" width="7.85546875" style="43"/>
    <col min="8" max="8" width="31.7109375" style="43" customWidth="1"/>
    <col min="9" max="9" width="15.140625" style="43" customWidth="1"/>
    <col min="10" max="10" width="13.140625" style="132" customWidth="1"/>
    <col min="11" max="11" width="13.5703125" style="43" customWidth="1"/>
    <col min="12" max="16384" width="7.85546875" style="43"/>
  </cols>
  <sheetData>
    <row r="1" spans="1:11" ht="15.75" x14ac:dyDescent="0.2">
      <c r="K1" s="134" t="s">
        <v>443</v>
      </c>
    </row>
    <row r="2" spans="1:11" ht="15.75" x14ac:dyDescent="0.2">
      <c r="A2" s="174" t="s">
        <v>444</v>
      </c>
      <c r="B2" s="174"/>
      <c r="C2" s="174"/>
      <c r="D2" s="174"/>
      <c r="E2" s="174"/>
      <c r="F2" s="174"/>
      <c r="G2" s="174"/>
      <c r="H2" s="174"/>
      <c r="I2" s="174"/>
      <c r="J2" s="174"/>
      <c r="K2" s="174"/>
    </row>
    <row r="3" spans="1:11" ht="15.75" x14ac:dyDescent="0.25">
      <c r="A3" s="135"/>
      <c r="B3" s="175" t="s">
        <v>3</v>
      </c>
      <c r="C3" s="175"/>
      <c r="D3" s="175"/>
      <c r="E3" s="136"/>
      <c r="F3" s="136"/>
      <c r="G3" s="136"/>
      <c r="H3" s="136"/>
      <c r="I3" s="137">
        <v>46168</v>
      </c>
      <c r="J3" s="138"/>
      <c r="K3" s="139"/>
    </row>
    <row r="4" spans="1:11" x14ac:dyDescent="0.2">
      <c r="A4" s="176"/>
      <c r="B4" s="177"/>
      <c r="C4" s="177"/>
      <c r="D4" s="177"/>
      <c r="E4" s="177"/>
      <c r="F4" s="177"/>
      <c r="G4" s="177"/>
      <c r="H4" s="177"/>
      <c r="I4" s="177"/>
      <c r="J4" s="177"/>
      <c r="K4" s="178"/>
    </row>
    <row r="5" spans="1:11" s="140" customFormat="1" ht="42.75" customHeight="1" x14ac:dyDescent="0.25">
      <c r="A5" s="179" t="s">
        <v>5</v>
      </c>
      <c r="B5" s="179" t="s">
        <v>445</v>
      </c>
      <c r="C5" s="179"/>
      <c r="D5" s="179"/>
      <c r="E5" s="179"/>
      <c r="F5" s="179" t="s">
        <v>446</v>
      </c>
      <c r="G5" s="179"/>
      <c r="H5" s="179"/>
      <c r="I5" s="166" t="s">
        <v>447</v>
      </c>
      <c r="J5" s="166" t="s">
        <v>448</v>
      </c>
      <c r="K5" s="166" t="s">
        <v>449</v>
      </c>
    </row>
    <row r="6" spans="1:11" s="140" customFormat="1" ht="14.25" x14ac:dyDescent="0.25">
      <c r="A6" s="179"/>
      <c r="B6" s="179" t="s">
        <v>450</v>
      </c>
      <c r="C6" s="179"/>
      <c r="D6" s="179"/>
      <c r="E6" s="179"/>
      <c r="F6" s="179" t="s">
        <v>451</v>
      </c>
      <c r="G6" s="179"/>
      <c r="H6" s="179"/>
      <c r="I6" s="166" t="s">
        <v>452</v>
      </c>
      <c r="J6" s="166" t="s">
        <v>453</v>
      </c>
      <c r="K6" s="166" t="s">
        <v>454</v>
      </c>
    </row>
    <row r="7" spans="1:11" s="64" customFormat="1" x14ac:dyDescent="0.2">
      <c r="A7" s="141">
        <v>1</v>
      </c>
      <c r="B7" s="180" t="s">
        <v>455</v>
      </c>
      <c r="C7" s="181"/>
      <c r="D7" s="181"/>
      <c r="E7" s="181"/>
      <c r="F7" s="181"/>
      <c r="G7" s="181"/>
      <c r="H7" s="181"/>
      <c r="I7" s="181"/>
      <c r="J7" s="181"/>
      <c r="K7" s="182"/>
    </row>
    <row r="8" spans="1:11" ht="12.75" customHeight="1" x14ac:dyDescent="0.2">
      <c r="A8" s="183" t="s">
        <v>361</v>
      </c>
      <c r="B8" s="185" t="s">
        <v>456</v>
      </c>
      <c r="C8" s="186"/>
      <c r="D8" s="186"/>
      <c r="E8" s="187"/>
      <c r="F8" s="191" t="s">
        <v>457</v>
      </c>
      <c r="G8" s="192"/>
      <c r="H8" s="193"/>
      <c r="I8" s="194">
        <v>0.2839259911230177</v>
      </c>
      <c r="J8" s="142" t="s">
        <v>458</v>
      </c>
      <c r="K8" s="194">
        <v>0.15392599112301769</v>
      </c>
    </row>
    <row r="9" spans="1:11" x14ac:dyDescent="0.2">
      <c r="A9" s="184"/>
      <c r="B9" s="188"/>
      <c r="C9" s="189"/>
      <c r="D9" s="189"/>
      <c r="E9" s="190"/>
      <c r="F9" s="185" t="s">
        <v>459</v>
      </c>
      <c r="G9" s="197"/>
      <c r="H9" s="198"/>
      <c r="I9" s="195"/>
      <c r="J9" s="143">
        <v>0.13</v>
      </c>
      <c r="K9" s="196"/>
    </row>
    <row r="10" spans="1:11" x14ac:dyDescent="0.2">
      <c r="A10" s="183" t="s">
        <v>385</v>
      </c>
      <c r="B10" s="185" t="s">
        <v>460</v>
      </c>
      <c r="C10" s="186"/>
      <c r="D10" s="186"/>
      <c r="E10" s="187"/>
      <c r="F10" s="202" t="s">
        <v>461</v>
      </c>
      <c r="G10" s="203"/>
      <c r="H10" s="204"/>
      <c r="I10" s="194">
        <v>0.2839259911230177</v>
      </c>
      <c r="J10" s="142" t="s">
        <v>458</v>
      </c>
      <c r="K10" s="194">
        <v>0.18392599112301769</v>
      </c>
    </row>
    <row r="11" spans="1:11" x14ac:dyDescent="0.2">
      <c r="A11" s="184"/>
      <c r="B11" s="199"/>
      <c r="C11" s="200"/>
      <c r="D11" s="200"/>
      <c r="E11" s="201"/>
      <c r="F11" s="206" t="s">
        <v>459</v>
      </c>
      <c r="G11" s="207"/>
      <c r="H11" s="208"/>
      <c r="I11" s="195"/>
      <c r="J11" s="143">
        <v>0.1</v>
      </c>
      <c r="K11" s="205"/>
    </row>
    <row r="12" spans="1:11" x14ac:dyDescent="0.2">
      <c r="A12" s="183" t="s">
        <v>411</v>
      </c>
      <c r="B12" s="209" t="s">
        <v>462</v>
      </c>
      <c r="C12" s="210"/>
      <c r="D12" s="210"/>
      <c r="E12" s="211"/>
      <c r="F12" s="202" t="s">
        <v>463</v>
      </c>
      <c r="G12" s="203"/>
      <c r="H12" s="204"/>
      <c r="I12" s="194">
        <v>0.2839259911230177</v>
      </c>
      <c r="J12" s="142" t="s">
        <v>458</v>
      </c>
      <c r="K12" s="194">
        <v>0.20392599112301768</v>
      </c>
    </row>
    <row r="13" spans="1:11" ht="12.75" customHeight="1" x14ac:dyDescent="0.2">
      <c r="A13" s="184"/>
      <c r="B13" s="212"/>
      <c r="C13" s="213"/>
      <c r="D13" s="213"/>
      <c r="E13" s="214"/>
      <c r="F13" s="191" t="s">
        <v>459</v>
      </c>
      <c r="G13" s="192"/>
      <c r="H13" s="193"/>
      <c r="I13" s="195"/>
      <c r="J13" s="143">
        <v>0.08</v>
      </c>
      <c r="K13" s="205"/>
    </row>
    <row r="14" spans="1:11" x14ac:dyDescent="0.2">
      <c r="A14" s="183" t="s">
        <v>464</v>
      </c>
      <c r="B14" s="215" t="s">
        <v>465</v>
      </c>
      <c r="C14" s="216"/>
      <c r="D14" s="216"/>
      <c r="E14" s="217"/>
      <c r="F14" s="218" t="s">
        <v>461</v>
      </c>
      <c r="G14" s="219"/>
      <c r="H14" s="220"/>
      <c r="I14" s="194">
        <v>0.36306137037310171</v>
      </c>
      <c r="J14" s="142" t="s">
        <v>458</v>
      </c>
      <c r="K14" s="194">
        <v>0.33306137037310168</v>
      </c>
    </row>
    <row r="15" spans="1:11" ht="12.75" customHeight="1" x14ac:dyDescent="0.2">
      <c r="A15" s="184"/>
      <c r="B15" s="188"/>
      <c r="C15" s="189"/>
      <c r="D15" s="189"/>
      <c r="E15" s="190"/>
      <c r="F15" s="191" t="s">
        <v>466</v>
      </c>
      <c r="G15" s="192"/>
      <c r="H15" s="193"/>
      <c r="I15" s="195"/>
      <c r="J15" s="143">
        <v>0.03</v>
      </c>
      <c r="K15" s="205"/>
    </row>
    <row r="16" spans="1:11" s="64" customFormat="1" x14ac:dyDescent="0.2">
      <c r="A16" s="144">
        <v>2</v>
      </c>
      <c r="B16" s="180" t="s">
        <v>467</v>
      </c>
      <c r="C16" s="181"/>
      <c r="D16" s="181"/>
      <c r="E16" s="181"/>
      <c r="F16" s="181"/>
      <c r="G16" s="181"/>
      <c r="H16" s="181"/>
      <c r="I16" s="181"/>
      <c r="J16" s="181"/>
      <c r="K16" s="182"/>
    </row>
    <row r="17" spans="1:11" ht="12.75" customHeight="1" x14ac:dyDescent="0.2">
      <c r="A17" s="183" t="s">
        <v>229</v>
      </c>
      <c r="B17" s="209" t="s">
        <v>468</v>
      </c>
      <c r="C17" s="210"/>
      <c r="D17" s="210"/>
      <c r="E17" s="211"/>
      <c r="F17" s="202" t="s">
        <v>469</v>
      </c>
      <c r="G17" s="203"/>
      <c r="H17" s="204"/>
      <c r="I17" s="221">
        <v>7.2396736175428078E-2</v>
      </c>
      <c r="J17" s="142" t="s">
        <v>458</v>
      </c>
      <c r="K17" s="221">
        <v>2.2396736175428075E-2</v>
      </c>
    </row>
    <row r="18" spans="1:11" x14ac:dyDescent="0.2">
      <c r="A18" s="184"/>
      <c r="B18" s="212"/>
      <c r="C18" s="213"/>
      <c r="D18" s="213"/>
      <c r="E18" s="214"/>
      <c r="F18" s="191" t="s">
        <v>470</v>
      </c>
      <c r="G18" s="192"/>
      <c r="H18" s="193"/>
      <c r="I18" s="222"/>
      <c r="J18" s="162">
        <v>0.05</v>
      </c>
      <c r="K18" s="223"/>
    </row>
    <row r="19" spans="1:11" ht="12.75" customHeight="1" x14ac:dyDescent="0.2">
      <c r="A19" s="183" t="s">
        <v>231</v>
      </c>
      <c r="B19" s="225" t="s">
        <v>471</v>
      </c>
      <c r="C19" s="216"/>
      <c r="D19" s="216"/>
      <c r="E19" s="228" t="s">
        <v>131</v>
      </c>
      <c r="F19" s="230" t="s">
        <v>469</v>
      </c>
      <c r="G19" s="231"/>
      <c r="H19" s="232"/>
      <c r="I19" s="221">
        <v>1.4518561625828288</v>
      </c>
      <c r="J19" s="142" t="s">
        <v>458</v>
      </c>
      <c r="K19" s="221">
        <v>0.45185616258282879</v>
      </c>
    </row>
    <row r="20" spans="1:11" ht="12.75" customHeight="1" x14ac:dyDescent="0.2">
      <c r="A20" s="184"/>
      <c r="B20" s="226"/>
      <c r="C20" s="227"/>
      <c r="D20" s="227"/>
      <c r="E20" s="229"/>
      <c r="F20" s="233" t="s">
        <v>472</v>
      </c>
      <c r="G20" s="233"/>
      <c r="H20" s="233"/>
      <c r="I20" s="223"/>
      <c r="J20" s="162">
        <v>1</v>
      </c>
      <c r="K20" s="223"/>
    </row>
    <row r="21" spans="1:11" ht="12.75" customHeight="1" x14ac:dyDescent="0.2">
      <c r="A21" s="183" t="s">
        <v>233</v>
      </c>
      <c r="B21" s="225" t="s">
        <v>473</v>
      </c>
      <c r="C21" s="216"/>
      <c r="D21" s="216"/>
      <c r="E21" s="228" t="s">
        <v>131</v>
      </c>
      <c r="F21" s="234" t="s">
        <v>474</v>
      </c>
      <c r="G21" s="235"/>
      <c r="H21" s="236"/>
      <c r="I21" s="221">
        <v>1.2307730839395441</v>
      </c>
      <c r="J21" s="142" t="s">
        <v>458</v>
      </c>
      <c r="K21" s="221">
        <v>0.2307730839395441</v>
      </c>
    </row>
    <row r="22" spans="1:11" ht="12.75" customHeight="1" x14ac:dyDescent="0.2">
      <c r="A22" s="184"/>
      <c r="B22" s="226"/>
      <c r="C22" s="227"/>
      <c r="D22" s="227"/>
      <c r="E22" s="229"/>
      <c r="F22" s="224" t="s">
        <v>475</v>
      </c>
      <c r="G22" s="224"/>
      <c r="H22" s="224"/>
      <c r="I22" s="223"/>
      <c r="J22" s="164">
        <v>1</v>
      </c>
      <c r="K22" s="223"/>
    </row>
    <row r="23" spans="1:11" s="64" customFormat="1" x14ac:dyDescent="0.2">
      <c r="A23" s="144">
        <v>3</v>
      </c>
      <c r="B23" s="180" t="s">
        <v>476</v>
      </c>
      <c r="C23" s="181"/>
      <c r="D23" s="181"/>
      <c r="E23" s="181"/>
      <c r="F23" s="181"/>
      <c r="G23" s="181"/>
      <c r="H23" s="181"/>
      <c r="I23" s="181"/>
      <c r="J23" s="181"/>
      <c r="K23" s="182"/>
    </row>
    <row r="24" spans="1:11" ht="12.75" customHeight="1" x14ac:dyDescent="0.2">
      <c r="A24" s="183" t="s">
        <v>13</v>
      </c>
      <c r="B24" s="225" t="s">
        <v>477</v>
      </c>
      <c r="C24" s="216"/>
      <c r="D24" s="216"/>
      <c r="E24" s="217"/>
      <c r="F24" s="225" t="s">
        <v>478</v>
      </c>
      <c r="G24" s="216"/>
      <c r="H24" s="217"/>
      <c r="I24" s="241">
        <v>0</v>
      </c>
      <c r="J24" s="142" t="s">
        <v>479</v>
      </c>
      <c r="K24" s="241">
        <v>0</v>
      </c>
    </row>
    <row r="25" spans="1:11" x14ac:dyDescent="0.2">
      <c r="A25" s="184"/>
      <c r="B25" s="237"/>
      <c r="C25" s="238"/>
      <c r="D25" s="238"/>
      <c r="E25" s="239"/>
      <c r="F25" s="226"/>
      <c r="G25" s="227"/>
      <c r="H25" s="240"/>
      <c r="I25" s="242"/>
      <c r="J25" s="145" t="s">
        <v>480</v>
      </c>
      <c r="K25" s="243"/>
    </row>
    <row r="26" spans="1:11" ht="12.75" customHeight="1" x14ac:dyDescent="0.2">
      <c r="A26" s="183" t="s">
        <v>15</v>
      </c>
      <c r="B26" s="225" t="s">
        <v>481</v>
      </c>
      <c r="C26" s="216"/>
      <c r="D26" s="216"/>
      <c r="E26" s="217"/>
      <c r="F26" s="247" t="s">
        <v>482</v>
      </c>
      <c r="G26" s="248"/>
      <c r="H26" s="249"/>
      <c r="I26" s="241">
        <v>0</v>
      </c>
      <c r="J26" s="142" t="s">
        <v>479</v>
      </c>
      <c r="K26" s="250">
        <v>0</v>
      </c>
    </row>
    <row r="27" spans="1:11" x14ac:dyDescent="0.2">
      <c r="A27" s="184"/>
      <c r="B27" s="244"/>
      <c r="C27" s="245"/>
      <c r="D27" s="245"/>
      <c r="E27" s="246"/>
      <c r="F27" s="218" t="s">
        <v>461</v>
      </c>
      <c r="G27" s="219"/>
      <c r="H27" s="220"/>
      <c r="I27" s="242"/>
      <c r="J27" s="145">
        <v>0.05</v>
      </c>
      <c r="K27" s="251"/>
    </row>
    <row r="28" spans="1:11" s="64" customFormat="1" ht="12.75" customHeight="1" x14ac:dyDescent="0.2">
      <c r="A28" s="144" t="s">
        <v>247</v>
      </c>
      <c r="B28" s="252" t="s">
        <v>483</v>
      </c>
      <c r="C28" s="181"/>
      <c r="D28" s="181"/>
      <c r="E28" s="181"/>
      <c r="F28" s="181"/>
      <c r="G28" s="181"/>
      <c r="H28" s="181"/>
      <c r="I28" s="181"/>
      <c r="J28" s="181"/>
      <c r="K28" s="182"/>
    </row>
    <row r="29" spans="1:11" ht="12.75" customHeight="1" x14ac:dyDescent="0.2">
      <c r="A29" s="183" t="s">
        <v>484</v>
      </c>
      <c r="B29" s="253" t="s">
        <v>485</v>
      </c>
      <c r="C29" s="233"/>
      <c r="D29" s="233"/>
      <c r="E29" s="233"/>
      <c r="F29" s="215" t="s">
        <v>486</v>
      </c>
      <c r="G29" s="254"/>
      <c r="H29" s="255"/>
      <c r="I29" s="241">
        <v>0</v>
      </c>
      <c r="J29" s="142" t="s">
        <v>479</v>
      </c>
      <c r="K29" s="259">
        <v>0</v>
      </c>
    </row>
    <row r="30" spans="1:11" x14ac:dyDescent="0.2">
      <c r="A30" s="184"/>
      <c r="B30" s="233"/>
      <c r="C30" s="233"/>
      <c r="D30" s="233"/>
      <c r="E30" s="233"/>
      <c r="F30" s="256"/>
      <c r="G30" s="257"/>
      <c r="H30" s="258"/>
      <c r="I30" s="242"/>
      <c r="J30" s="145" t="s">
        <v>480</v>
      </c>
      <c r="K30" s="260"/>
    </row>
    <row r="31" spans="1:11" ht="12.75" customHeight="1" x14ac:dyDescent="0.2">
      <c r="A31" s="183" t="s">
        <v>487</v>
      </c>
      <c r="B31" s="253" t="s">
        <v>488</v>
      </c>
      <c r="C31" s="233"/>
      <c r="D31" s="233"/>
      <c r="E31" s="233"/>
      <c r="F31" s="247" t="s">
        <v>489</v>
      </c>
      <c r="G31" s="192"/>
      <c r="H31" s="193"/>
      <c r="I31" s="221">
        <v>0</v>
      </c>
      <c r="J31" s="142" t="s">
        <v>479</v>
      </c>
      <c r="K31" s="250">
        <v>0</v>
      </c>
    </row>
    <row r="32" spans="1:11" x14ac:dyDescent="0.2">
      <c r="A32" s="184"/>
      <c r="B32" s="233"/>
      <c r="C32" s="233"/>
      <c r="D32" s="233"/>
      <c r="E32" s="233"/>
      <c r="F32" s="218" t="s">
        <v>461</v>
      </c>
      <c r="G32" s="219"/>
      <c r="H32" s="220"/>
      <c r="I32" s="261"/>
      <c r="J32" s="162">
        <v>0.25</v>
      </c>
      <c r="K32" s="251"/>
    </row>
    <row r="34" spans="2:13" s="57" customFormat="1" x14ac:dyDescent="0.2">
      <c r="B34" s="65" t="s">
        <v>490</v>
      </c>
      <c r="F34" s="146"/>
      <c r="G34" s="146"/>
      <c r="H34" s="146"/>
      <c r="I34" s="146"/>
      <c r="J34" s="146"/>
      <c r="K34" s="146"/>
      <c r="L34" s="146"/>
      <c r="M34" s="146"/>
    </row>
    <row r="35" spans="2:13" s="57" customFormat="1" x14ac:dyDescent="0.2">
      <c r="B35" s="65"/>
      <c r="F35" s="146"/>
      <c r="G35" s="146"/>
      <c r="H35" s="146"/>
      <c r="I35" s="146"/>
      <c r="J35" s="146"/>
      <c r="K35" s="146"/>
      <c r="L35" s="146"/>
      <c r="M35" s="146"/>
    </row>
    <row r="36" spans="2:13" s="57" customFormat="1" x14ac:dyDescent="0.2">
      <c r="B36" s="65" t="s">
        <v>491</v>
      </c>
      <c r="F36" s="146"/>
      <c r="G36" s="146"/>
      <c r="H36" s="146"/>
      <c r="I36" s="146"/>
      <c r="J36" s="146"/>
      <c r="K36" s="146"/>
      <c r="L36" s="146"/>
      <c r="M36" s="146"/>
    </row>
  </sheetData>
  <mergeCells count="82">
    <mergeCell ref="A31:A32"/>
    <mergeCell ref="B31:E32"/>
    <mergeCell ref="F31:H31"/>
    <mergeCell ref="I31:I32"/>
    <mergeCell ref="K31:K32"/>
    <mergeCell ref="F32:H32"/>
    <mergeCell ref="B28:E28"/>
    <mergeCell ref="F28:K28"/>
    <mergeCell ref="A29:A30"/>
    <mergeCell ref="B29:E30"/>
    <mergeCell ref="F29:H30"/>
    <mergeCell ref="I29:I30"/>
    <mergeCell ref="K29:K30"/>
    <mergeCell ref="A26:A27"/>
    <mergeCell ref="B26:E27"/>
    <mergeCell ref="F26:H26"/>
    <mergeCell ref="I26:I27"/>
    <mergeCell ref="K26:K27"/>
    <mergeCell ref="F27:H27"/>
    <mergeCell ref="B23:E23"/>
    <mergeCell ref="F23:K23"/>
    <mergeCell ref="A24:A25"/>
    <mergeCell ref="B24:E25"/>
    <mergeCell ref="F24:H25"/>
    <mergeCell ref="I24:I25"/>
    <mergeCell ref="K24:K25"/>
    <mergeCell ref="K21:K22"/>
    <mergeCell ref="F22:H22"/>
    <mergeCell ref="A19:A20"/>
    <mergeCell ref="B19:D20"/>
    <mergeCell ref="E19:E20"/>
    <mergeCell ref="F19:H19"/>
    <mergeCell ref="I19:I20"/>
    <mergeCell ref="K19:K20"/>
    <mergeCell ref="F20:H20"/>
    <mergeCell ref="A21:A22"/>
    <mergeCell ref="B21:D22"/>
    <mergeCell ref="E21:E22"/>
    <mergeCell ref="F21:H21"/>
    <mergeCell ref="I21:I22"/>
    <mergeCell ref="B16:E16"/>
    <mergeCell ref="F16:K16"/>
    <mergeCell ref="A17:A18"/>
    <mergeCell ref="B17:E18"/>
    <mergeCell ref="F17:H17"/>
    <mergeCell ref="I17:I18"/>
    <mergeCell ref="K17:K18"/>
    <mergeCell ref="F18:H18"/>
    <mergeCell ref="A14:A15"/>
    <mergeCell ref="B14:E15"/>
    <mergeCell ref="F14:H14"/>
    <mergeCell ref="I14:I15"/>
    <mergeCell ref="K14:K15"/>
    <mergeCell ref="F15:H15"/>
    <mergeCell ref="A12:A13"/>
    <mergeCell ref="B12:E13"/>
    <mergeCell ref="F12:H12"/>
    <mergeCell ref="I12:I13"/>
    <mergeCell ref="K12:K13"/>
    <mergeCell ref="F13:H13"/>
    <mergeCell ref="A10:A11"/>
    <mergeCell ref="B10:E11"/>
    <mergeCell ref="F10:H10"/>
    <mergeCell ref="I10:I11"/>
    <mergeCell ref="K10:K11"/>
    <mergeCell ref="F11:H11"/>
    <mergeCell ref="B7:E7"/>
    <mergeCell ref="F7:K7"/>
    <mergeCell ref="A8:A9"/>
    <mergeCell ref="B8:E9"/>
    <mergeCell ref="F8:H8"/>
    <mergeCell ref="I8:I9"/>
    <mergeCell ref="K8:K9"/>
    <mergeCell ref="F9:H9"/>
    <mergeCell ref="A2:K2"/>
    <mergeCell ref="B3:D3"/>
    <mergeCell ref="A4:K4"/>
    <mergeCell ref="A5:A6"/>
    <mergeCell ref="B5:E5"/>
    <mergeCell ref="F5:H5"/>
    <mergeCell ref="B6:E6"/>
    <mergeCell ref="F6:H6"/>
  </mergeCells>
  <dataValidations count="2">
    <dataValidation allowBlank="1" showInputMessage="1" showErrorMessage="1" prompt="Это число может положительным или отрицательным. Вводите только десятичные числа до третего знака после точки. Например,10.7 % вводится как 0.107._x000a_" sqref="I24 I26:I27" xr:uid="{60629243-31D8-4591-8CC7-23751851F34B}"/>
    <dataValidation allowBlank="1" showErrorMessage="1" prompt="Это число может положительным или отрицательным. Вводите только десятичные числа до третего знака после точки. Например,10.7 % вводится как 0.107._x000a_" sqref="I8:I15 I29:I32 I19 I21" xr:uid="{5ACD71AA-7600-45FF-826E-22575392CCA4}"/>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36A13-2E9A-4A93-B9DE-1EB136EA1A3F}">
  <dimension ref="A1:M30"/>
  <sheetViews>
    <sheetView workbookViewId="0">
      <selection activeCell="C4" sqref="C4"/>
    </sheetView>
  </sheetViews>
  <sheetFormatPr defaultColWidth="8" defaultRowHeight="12.75" x14ac:dyDescent="0.2"/>
  <cols>
    <col min="1" max="1" width="5.28515625" style="43" customWidth="1"/>
    <col min="2" max="2" width="62.85546875" style="133" customWidth="1"/>
    <col min="3" max="3" width="16.85546875" style="43" customWidth="1"/>
    <col min="4" max="16384" width="8" style="43"/>
  </cols>
  <sheetData>
    <row r="1" spans="1:3" ht="15.75" x14ac:dyDescent="0.2">
      <c r="C1" s="44" t="s">
        <v>492</v>
      </c>
    </row>
    <row r="2" spans="1:3" s="132" customFormat="1" ht="15.75" customHeight="1" x14ac:dyDescent="0.25">
      <c r="A2" s="262" t="s">
        <v>493</v>
      </c>
      <c r="B2" s="262"/>
      <c r="C2" s="262"/>
    </row>
    <row r="3" spans="1:3" s="132" customFormat="1" ht="18.75" x14ac:dyDescent="0.25">
      <c r="A3" s="147"/>
      <c r="B3" s="147" t="s">
        <v>494</v>
      </c>
      <c r="C3" s="161">
        <v>46168</v>
      </c>
    </row>
    <row r="4" spans="1:3" s="132" customFormat="1" ht="25.5" x14ac:dyDescent="0.25">
      <c r="A4" s="148">
        <v>1</v>
      </c>
      <c r="B4" s="149" t="s">
        <v>495</v>
      </c>
      <c r="C4" s="150"/>
    </row>
    <row r="5" spans="1:3" s="153" customFormat="1" x14ac:dyDescent="0.25">
      <c r="A5" s="151" t="s">
        <v>496</v>
      </c>
      <c r="B5" s="152" t="s">
        <v>497</v>
      </c>
      <c r="C5" s="150">
        <v>138</v>
      </c>
    </row>
    <row r="6" spans="1:3" s="153" customFormat="1" x14ac:dyDescent="0.25">
      <c r="A6" s="151" t="s">
        <v>498</v>
      </c>
      <c r="B6" s="152" t="s">
        <v>499</v>
      </c>
      <c r="C6" s="150">
        <v>108</v>
      </c>
    </row>
    <row r="7" spans="1:3" s="132" customFormat="1" ht="25.5" x14ac:dyDescent="0.25">
      <c r="A7" s="148">
        <v>2</v>
      </c>
      <c r="B7" s="149" t="s">
        <v>500</v>
      </c>
      <c r="C7" s="150"/>
    </row>
    <row r="8" spans="1:3" s="132" customFormat="1" x14ac:dyDescent="0.25">
      <c r="A8" s="165"/>
      <c r="B8" s="154" t="s">
        <v>501</v>
      </c>
      <c r="C8" s="155"/>
    </row>
    <row r="9" spans="1:3" s="153" customFormat="1" x14ac:dyDescent="0.25">
      <c r="A9" s="151" t="s">
        <v>496</v>
      </c>
      <c r="B9" s="152" t="s">
        <v>502</v>
      </c>
      <c r="C9" s="150"/>
    </row>
    <row r="10" spans="1:3" s="153" customFormat="1" x14ac:dyDescent="0.25">
      <c r="A10" s="151" t="s">
        <v>498</v>
      </c>
      <c r="B10" s="154" t="s">
        <v>503</v>
      </c>
      <c r="C10" s="150"/>
    </row>
    <row r="11" spans="1:3" s="153" customFormat="1" x14ac:dyDescent="0.25">
      <c r="A11" s="151" t="s">
        <v>504</v>
      </c>
      <c r="B11" s="154" t="s">
        <v>505</v>
      </c>
      <c r="C11" s="150"/>
    </row>
    <row r="12" spans="1:3" s="153" customFormat="1" x14ac:dyDescent="0.25">
      <c r="A12" s="151" t="s">
        <v>506</v>
      </c>
      <c r="B12" s="154" t="s">
        <v>507</v>
      </c>
      <c r="C12" s="150">
        <v>1</v>
      </c>
    </row>
    <row r="13" spans="1:3" s="132" customFormat="1" x14ac:dyDescent="0.25">
      <c r="A13" s="148">
        <v>3</v>
      </c>
      <c r="B13" s="156" t="s">
        <v>508</v>
      </c>
      <c r="C13" s="157">
        <v>1364</v>
      </c>
    </row>
    <row r="14" spans="1:3" s="132" customFormat="1" x14ac:dyDescent="0.25">
      <c r="A14" s="165"/>
      <c r="B14" s="154" t="s">
        <v>501</v>
      </c>
      <c r="C14" s="155"/>
    </row>
    <row r="15" spans="1:3" s="153" customFormat="1" x14ac:dyDescent="0.25">
      <c r="A15" s="151" t="s">
        <v>496</v>
      </c>
      <c r="B15" s="154" t="s">
        <v>509</v>
      </c>
      <c r="C15" s="150">
        <v>1041</v>
      </c>
    </row>
    <row r="16" spans="1:3" s="153" customFormat="1" x14ac:dyDescent="0.25">
      <c r="A16" s="151" t="s">
        <v>498</v>
      </c>
      <c r="B16" s="154" t="s">
        <v>510</v>
      </c>
      <c r="C16" s="150">
        <v>295</v>
      </c>
    </row>
    <row r="17" spans="1:13" s="153" customFormat="1" x14ac:dyDescent="0.25">
      <c r="A17" s="151" t="s">
        <v>504</v>
      </c>
      <c r="B17" s="154" t="s">
        <v>511</v>
      </c>
      <c r="C17" s="157">
        <v>28</v>
      </c>
      <c r="E17" s="158"/>
    </row>
    <row r="18" spans="1:13" s="153" customFormat="1" x14ac:dyDescent="0.25">
      <c r="A18" s="151"/>
      <c r="B18" s="154" t="s">
        <v>512</v>
      </c>
      <c r="C18" s="150"/>
      <c r="E18" s="158"/>
    </row>
    <row r="19" spans="1:13" s="153" customFormat="1" x14ac:dyDescent="0.25">
      <c r="A19" s="151" t="s">
        <v>513</v>
      </c>
      <c r="B19" s="159" t="s">
        <v>514</v>
      </c>
      <c r="C19" s="150">
        <v>1</v>
      </c>
    </row>
    <row r="20" spans="1:13" s="153" customFormat="1" x14ac:dyDescent="0.25">
      <c r="A20" s="151" t="s">
        <v>513</v>
      </c>
      <c r="B20" s="159" t="s">
        <v>515</v>
      </c>
      <c r="C20" s="150">
        <v>27</v>
      </c>
    </row>
    <row r="21" spans="1:13" s="153" customFormat="1" x14ac:dyDescent="0.25">
      <c r="A21" s="151" t="s">
        <v>513</v>
      </c>
      <c r="B21" s="159" t="s">
        <v>516</v>
      </c>
      <c r="C21" s="150"/>
    </row>
    <row r="22" spans="1:13" s="153" customFormat="1" x14ac:dyDescent="0.25">
      <c r="A22" s="151" t="s">
        <v>513</v>
      </c>
      <c r="B22" s="159" t="s">
        <v>517</v>
      </c>
      <c r="C22" s="150"/>
    </row>
    <row r="23" spans="1:13" s="153" customFormat="1" x14ac:dyDescent="0.25">
      <c r="A23" s="151" t="s">
        <v>513</v>
      </c>
      <c r="B23" s="159" t="s">
        <v>518</v>
      </c>
      <c r="C23" s="150"/>
    </row>
    <row r="24" spans="1:13" s="132" customFormat="1" x14ac:dyDescent="0.25">
      <c r="A24" s="148">
        <v>4</v>
      </c>
      <c r="B24" s="149" t="s">
        <v>519</v>
      </c>
      <c r="C24" s="160"/>
    </row>
    <row r="25" spans="1:13" s="153" customFormat="1" x14ac:dyDescent="0.25">
      <c r="A25" s="151" t="s">
        <v>496</v>
      </c>
      <c r="B25" s="154" t="s">
        <v>520</v>
      </c>
      <c r="C25" s="150" t="s">
        <v>521</v>
      </c>
    </row>
    <row r="26" spans="1:13" s="153" customFormat="1" x14ac:dyDescent="0.25">
      <c r="A26" s="151" t="s">
        <v>498</v>
      </c>
      <c r="B26" s="154" t="s">
        <v>522</v>
      </c>
      <c r="C26" s="150" t="s">
        <v>523</v>
      </c>
    </row>
    <row r="28" spans="1:13" s="57" customFormat="1" x14ac:dyDescent="0.2">
      <c r="B28" s="65" t="s">
        <v>490</v>
      </c>
      <c r="F28" s="146"/>
      <c r="G28" s="146"/>
      <c r="H28" s="146"/>
      <c r="I28" s="146"/>
      <c r="J28" s="146"/>
      <c r="K28" s="146"/>
      <c r="L28" s="146"/>
      <c r="M28" s="146"/>
    </row>
    <row r="29" spans="1:13" s="57" customFormat="1" x14ac:dyDescent="0.2">
      <c r="B29" s="65"/>
      <c r="F29" s="146"/>
      <c r="G29" s="146"/>
      <c r="H29" s="146"/>
      <c r="I29" s="146"/>
      <c r="J29" s="146"/>
      <c r="K29" s="146"/>
      <c r="L29" s="146"/>
      <c r="M29" s="146"/>
    </row>
    <row r="30" spans="1:13" s="57" customFormat="1" x14ac:dyDescent="0.2">
      <c r="B30" s="65" t="s">
        <v>491</v>
      </c>
      <c r="F30" s="146"/>
      <c r="G30" s="146"/>
      <c r="H30" s="146"/>
      <c r="I30" s="146"/>
      <c r="J30" s="146"/>
      <c r="K30" s="146"/>
      <c r="L30" s="146"/>
      <c r="M30" s="146"/>
    </row>
  </sheetData>
  <mergeCells count="1">
    <mergeCell ref="A2:C2"/>
  </mergeCells>
  <dataValidations count="1">
    <dataValidation type="whole" operator="greaterThanOrEqual" allowBlank="1" showErrorMessage="1" error="Введите как целое положительное число." sqref="C9 C5:C6" xr:uid="{F65D1C4C-9B1C-47C2-B0A7-F42F879F06B4}">
      <formul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vt:i4>
      </vt:variant>
    </vt:vector>
  </HeadingPairs>
  <TitlesOfParts>
    <vt:vector size="6" baseType="lpstr">
      <vt:lpstr>1</vt:lpstr>
      <vt:lpstr>2</vt:lpstr>
      <vt:lpstr>12</vt:lpstr>
      <vt:lpstr>13</vt:lpstr>
      <vt:lpstr>16</vt:lpstr>
      <vt:lpstr>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Sharipov Begzod Baxtiyor o'g'li</dc:creator>
  <cp:lastModifiedBy>Sharipov Begzod Baxtiyor o'g'li</cp:lastModifiedBy>
  <dcterms:created xsi:type="dcterms:W3CDTF">2015-06-05T18:19:34Z</dcterms:created>
  <dcterms:modified xsi:type="dcterms:W3CDTF">2026-06-16T11:00:10Z</dcterms:modified>
</cp:coreProperties>
</file>